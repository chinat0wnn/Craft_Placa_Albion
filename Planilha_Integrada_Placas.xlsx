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 e Taxas" sheetId="1" state="visible" r:id="rId1"/>
    <sheet name="Refino (Barras)" sheetId="2" state="visible" r:id="rId2"/>
    <sheet name="Craft (Equip de Placa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9900"/>
    </font>
    <font>
      <b val="1"/>
      <color rgb="000000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6B0A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Taxa de Ordem de Compra</t>
        </is>
      </c>
      <c r="B2" s="2" t="n">
        <v>0.025</v>
      </c>
      <c r="C2" t="inlineStr">
        <is>
          <t>Taxa cobrada ao criar Buy Orders (2,5%)</t>
        </is>
      </c>
    </row>
    <row r="3">
      <c r="A3" t="inlineStr">
        <is>
          <t>Taxa de Venda (Mercado)</t>
        </is>
      </c>
      <c r="B3" s="2" t="n">
        <v>0.065</v>
      </c>
      <c r="C3" t="inlineStr">
        <is>
          <t>Taxa cobrada na venda (6,5% com Premium, 10,5% sem)</t>
        </is>
      </c>
    </row>
    <row r="4">
      <c r="A4" t="inlineStr">
        <is>
          <t>Retorno Refino (Sinergia)</t>
        </is>
      </c>
      <c r="B4" s="2" t="n">
        <v>0.367</v>
      </c>
      <c r="C4" t="inlineStr">
        <is>
          <t>Taxa de retorno ao refinar (Ex: 36,7% em cidade com bônus)</t>
        </is>
      </c>
    </row>
    <row r="5">
      <c r="A5" t="inlineStr">
        <is>
          <t>Retorno Craft (Sinergia)</t>
        </is>
      </c>
      <c r="B5" s="2" t="n">
        <v>0.248</v>
      </c>
      <c r="C5" t="inlineStr">
        <is>
          <t>Taxa de retorno ao craftar o item (Ex: 24,8% com bônus)</t>
        </is>
      </c>
    </row>
    <row r="6">
      <c r="A6" t="inlineStr">
        <is>
          <t>Taxa Barraca Refino</t>
        </is>
      </c>
      <c r="B6" t="n">
        <v>500</v>
      </c>
      <c r="C6" t="inlineStr">
        <is>
          <t>Prata por 100 de nutrição na Fundição</t>
        </is>
      </c>
    </row>
    <row r="7">
      <c r="A7" t="inlineStr">
        <is>
          <t>Taxa Barraca Craft</t>
        </is>
      </c>
      <c r="B7" t="n">
        <v>500</v>
      </c>
      <c r="C7" t="inlineStr">
        <is>
          <t>Prata por 100 de nutrição na Forja de Armaduras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Tier da Barra</t>
        </is>
      </c>
      <c r="B1" s="3" t="inlineStr">
        <is>
          <t>Preço Minério (Mercado)</t>
        </is>
      </c>
      <c r="C1" s="3" t="inlineStr">
        <is>
          <t>Preço Barra T-1 (Puxa Auto)</t>
        </is>
      </c>
      <c r="D1" s="3" t="inlineStr">
        <is>
          <t>Item Value (IV)</t>
        </is>
      </c>
      <c r="E1" s="3" t="inlineStr">
        <is>
          <t>Custo Minério Bruto</t>
        </is>
      </c>
      <c r="F1" s="3" t="inlineStr">
        <is>
          <t>Custo Barra Antiga</t>
        </is>
      </c>
      <c r="G1" s="3" t="inlineStr">
        <is>
          <t>Custo Barraca</t>
        </is>
      </c>
      <c r="H1" s="3" t="inlineStr">
        <is>
          <t>Custo Unitário Real (Integrado)</t>
        </is>
      </c>
    </row>
    <row r="2">
      <c r="A2" t="inlineStr">
        <is>
          <t>T3.0</t>
        </is>
      </c>
      <c r="B2" t="n">
        <v>35</v>
      </c>
      <c r="C2" t="n">
        <v>15</v>
      </c>
      <c r="D2" t="n">
        <v>6</v>
      </c>
      <c r="E2">
        <f>2*B2*(1+'Config e Taxas'!$B$2)</f>
        <v/>
      </c>
      <c r="F2">
        <f>1*C2</f>
        <v/>
      </c>
      <c r="G2">
        <f>D2*0.1125*('Config e Taxas'!$B$6/100)</f>
        <v/>
      </c>
      <c r="H2" s="4">
        <f>(E2+F2+G2)*(1-'Config e Taxas'!$B$4)</f>
        <v/>
      </c>
    </row>
    <row r="3">
      <c r="A3" t="inlineStr">
        <is>
          <t>T4.0</t>
        </is>
      </c>
      <c r="B3" t="n">
        <v>120</v>
      </c>
      <c r="C3">
        <f>H2</f>
        <v/>
      </c>
      <c r="D3" t="n">
        <v>16</v>
      </c>
      <c r="E3">
        <f>2*B3*(1+'Config e Taxas'!$B$2)</f>
        <v/>
      </c>
      <c r="F3">
        <f>1*C3</f>
        <v/>
      </c>
      <c r="G3">
        <f>D3*0.1125*('Config e Taxas'!$B$6/100)</f>
        <v/>
      </c>
      <c r="H3" s="4">
        <f>(E3+F3+G3)*(1-'Config e Taxas'!$B$4)</f>
        <v/>
      </c>
    </row>
    <row r="4">
      <c r="A4" t="inlineStr">
        <is>
          <t>T4.1</t>
        </is>
      </c>
      <c r="B4" t="n">
        <v>200</v>
      </c>
      <c r="C4">
        <f>H2</f>
        <v/>
      </c>
      <c r="D4" t="n">
        <v>32</v>
      </c>
      <c r="E4">
        <f>2*B4*(1+'Config e Taxas'!$B$2)</f>
        <v/>
      </c>
      <c r="F4">
        <f>1*C4</f>
        <v/>
      </c>
      <c r="G4">
        <f>D4*0.1125*('Config e Taxas'!$B$6/100)</f>
        <v/>
      </c>
      <c r="H4" s="4">
        <f>(E4+F4+G4)*(1-'Config e Taxas'!$B$4)</f>
        <v/>
      </c>
    </row>
    <row r="5">
      <c r="A5" t="inlineStr">
        <is>
          <t>T4.2</t>
        </is>
      </c>
      <c r="B5" t="n">
        <v>800</v>
      </c>
      <c r="C5">
        <f>H2</f>
        <v/>
      </c>
      <c r="D5" t="n">
        <v>64</v>
      </c>
      <c r="E5">
        <f>2*B5*(1+'Config e Taxas'!$B$2)</f>
        <v/>
      </c>
      <c r="F5">
        <f>1*C5</f>
        <v/>
      </c>
      <c r="G5">
        <f>D5*0.1125*('Config e Taxas'!$B$6/100)</f>
        <v/>
      </c>
      <c r="H5" s="4">
        <f>(E5+F5+G5)*(1-'Config e Taxas'!$B$4)</f>
        <v/>
      </c>
    </row>
    <row r="6">
      <c r="A6" t="inlineStr">
        <is>
          <t>T5.0</t>
        </is>
      </c>
      <c r="B6" t="n">
        <v>300</v>
      </c>
      <c r="C6">
        <f>H3</f>
        <v/>
      </c>
      <c r="D6" t="n">
        <v>30</v>
      </c>
      <c r="E6">
        <f>3*B6*(1+'Config e Taxas'!$B$2)</f>
        <v/>
      </c>
      <c r="F6">
        <f>1*C6</f>
        <v/>
      </c>
      <c r="G6">
        <f>D6*0.1125*('Config e Taxas'!$B$6/100)</f>
        <v/>
      </c>
      <c r="H6" s="4">
        <f>(E6+F6+G6)*(1-'Config e Taxas'!$B$4)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Item</t>
        </is>
      </c>
      <c r="B1" s="5" t="inlineStr">
        <is>
          <t>Tier</t>
        </is>
      </c>
      <c r="C1" s="5" t="inlineStr">
        <is>
          <t>Qtd Barras</t>
        </is>
      </c>
      <c r="D1" s="5" t="inlineStr">
        <is>
          <t>Custo Barra (Refino)</t>
        </is>
      </c>
      <c r="E1" s="5" t="inlineStr">
        <is>
          <t>Item Value (IV)</t>
        </is>
      </c>
      <c r="F1" s="5" t="inlineStr">
        <is>
          <t>Custo Base Material</t>
        </is>
      </c>
      <c r="G1" s="5" t="inlineStr">
        <is>
          <t>Economia do Retorno</t>
        </is>
      </c>
      <c r="H1" s="5" t="inlineStr">
        <is>
          <t>Taxa do Ferreiro</t>
        </is>
      </c>
      <c r="I1" s="5" t="inlineStr">
        <is>
          <t>CUSTO TOTAL DO ITEM</t>
        </is>
      </c>
      <c r="J1" s="5" t="inlineStr">
        <is>
          <t>Preço Venda (Mercado)</t>
        </is>
      </c>
      <c r="K1" s="5" t="inlineStr">
        <is>
          <t>Taxa de Venda</t>
        </is>
      </c>
      <c r="L1" s="5" t="inlineStr">
        <is>
          <t>LUCRO REAL</t>
        </is>
      </c>
      <c r="M1" s="5" t="inlineStr">
        <is>
          <t>Margem (%)</t>
        </is>
      </c>
    </row>
    <row r="2">
      <c r="A2" t="inlineStr">
        <is>
          <t>Armadura de Placas</t>
        </is>
      </c>
      <c r="B2" t="inlineStr">
        <is>
          <t>T4.0</t>
        </is>
      </c>
      <c r="C2" t="n">
        <v>16</v>
      </c>
      <c r="D2">
        <f>'Refino (Barras)'!H3</f>
        <v/>
      </c>
      <c r="E2" t="n">
        <v>256</v>
      </c>
      <c r="F2">
        <f>C2*D2</f>
        <v/>
      </c>
      <c r="G2">
        <f>F2*'Config e Taxas'!$B$5</f>
        <v/>
      </c>
      <c r="H2">
        <f>E2*0.1125*('Config e Taxas'!$B$7/100)</f>
        <v/>
      </c>
      <c r="I2" s="6">
        <f>F2-G2+H2</f>
        <v/>
      </c>
      <c r="J2" t="n">
        <v>15000</v>
      </c>
      <c r="K2">
        <f>J2*'Config e Taxas'!$B$3</f>
        <v/>
      </c>
      <c r="L2" s="7">
        <f>J2-K2-I2</f>
        <v/>
      </c>
      <c r="M2" s="2">
        <f>L2/I2</f>
        <v/>
      </c>
    </row>
    <row r="3">
      <c r="A3" t="inlineStr">
        <is>
          <t>Elmo de Placas</t>
        </is>
      </c>
      <c r="B3" t="inlineStr">
        <is>
          <t>T4.0</t>
        </is>
      </c>
      <c r="C3" t="n">
        <v>8</v>
      </c>
      <c r="D3">
        <f>'Refino (Barras)'!H3</f>
        <v/>
      </c>
      <c r="E3" t="n">
        <v>128</v>
      </c>
      <c r="F3">
        <f>C3*D3</f>
        <v/>
      </c>
      <c r="G3">
        <f>F3*'Config e Taxas'!$B$5</f>
        <v/>
      </c>
      <c r="H3">
        <f>E3*0.1125*('Config e Taxas'!$B$7/100)</f>
        <v/>
      </c>
      <c r="I3" s="6">
        <f>F3-G3+H3</f>
        <v/>
      </c>
      <c r="J3" t="n">
        <v>8000</v>
      </c>
      <c r="K3">
        <f>J3*'Config e Taxas'!$B$3</f>
        <v/>
      </c>
      <c r="L3" s="7">
        <f>J3-K3-I3</f>
        <v/>
      </c>
      <c r="M3" s="2">
        <f>L3/I3</f>
        <v/>
      </c>
    </row>
    <row r="4">
      <c r="A4" t="inlineStr">
        <is>
          <t>Botas de Placas</t>
        </is>
      </c>
      <c r="B4" t="inlineStr">
        <is>
          <t>T4.0</t>
        </is>
      </c>
      <c r="C4" t="n">
        <v>8</v>
      </c>
      <c r="D4">
        <f>'Refino (Barras)'!H3</f>
        <v/>
      </c>
      <c r="E4" t="n">
        <v>128</v>
      </c>
      <c r="F4">
        <f>C4*D4</f>
        <v/>
      </c>
      <c r="G4">
        <f>F4*'Config e Taxas'!$B$5</f>
        <v/>
      </c>
      <c r="H4">
        <f>E4*0.1125*('Config e Taxas'!$B$7/100)</f>
        <v/>
      </c>
      <c r="I4" s="6">
        <f>F4-G4+H4</f>
        <v/>
      </c>
      <c r="J4" t="n">
        <v>8000</v>
      </c>
      <c r="K4">
        <f>J4*'Config e Taxas'!$B$3</f>
        <v/>
      </c>
      <c r="L4" s="7">
        <f>J4-K4-I4</f>
        <v/>
      </c>
      <c r="M4" s="2">
        <f>L4/I4</f>
        <v/>
      </c>
    </row>
    <row r="5">
      <c r="A5" t="inlineStr">
        <is>
          <t>Armadura de Placas</t>
        </is>
      </c>
      <c r="B5" t="inlineStr">
        <is>
          <t>T4.1</t>
        </is>
      </c>
      <c r="C5" t="n">
        <v>16</v>
      </c>
      <c r="D5">
        <f>'Refino (Barras)'!H4</f>
        <v/>
      </c>
      <c r="E5" t="n">
        <v>512</v>
      </c>
      <c r="F5">
        <f>C5*D5</f>
        <v/>
      </c>
      <c r="G5">
        <f>F5*'Config e Taxas'!$B$5</f>
        <v/>
      </c>
      <c r="H5">
        <f>E5*0.1125*('Config e Taxas'!$B$7/100)</f>
        <v/>
      </c>
      <c r="I5" s="6">
        <f>F5-G5+H5</f>
        <v/>
      </c>
      <c r="J5" t="n">
        <v>35000</v>
      </c>
      <c r="K5">
        <f>J5*'Config e Taxas'!$B$3</f>
        <v/>
      </c>
      <c r="L5" s="7">
        <f>J5-K5-I5</f>
        <v/>
      </c>
      <c r="M5" s="2">
        <f>L5/I5</f>
        <v/>
      </c>
    </row>
    <row r="6">
      <c r="A6" t="inlineStr">
        <is>
          <t>Armadura de Placas</t>
        </is>
      </c>
      <c r="B6" t="inlineStr">
        <is>
          <t>T5.0</t>
        </is>
      </c>
      <c r="C6" t="n">
        <v>16</v>
      </c>
      <c r="D6">
        <f>'Refino (Barras)'!H6</f>
        <v/>
      </c>
      <c r="E6" t="n">
        <v>512</v>
      </c>
      <c r="F6">
        <f>C6*D6</f>
        <v/>
      </c>
      <c r="G6">
        <f>F6*'Config e Taxas'!$B$5</f>
        <v/>
      </c>
      <c r="H6">
        <f>E6*0.1125*('Config e Taxas'!$B$7/100)</f>
        <v/>
      </c>
      <c r="I6" s="6">
        <f>F6-G6+H6</f>
        <v/>
      </c>
      <c r="J6" t="n">
        <v>25000</v>
      </c>
      <c r="K6">
        <f>J6*'Config e Taxas'!$B$3</f>
        <v/>
      </c>
      <c r="L6" s="7">
        <f>J6-K6-I6</f>
        <v/>
      </c>
      <c r="M6" s="2">
        <f>L6/I6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2026-10-09T17:04:30Z</dcterms:created>
  <dcterms:modified xsi:type="dcterms:W3CDTF">2026-10-09T17:04:30Z</dcterms:modified>
</cp:coreProperties>
</file>