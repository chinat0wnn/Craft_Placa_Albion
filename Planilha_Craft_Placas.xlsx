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Craft" sheetId="2" state="visible" r:id="rId2"/>
    <sheet name="Lista_Compras" sheetId="3" state="visible" r:id="rId3"/>
    <sheet name="Itens" sheetId="4" state="visible" r:id="rId4"/>
    <sheet name="Refino" sheetId="5" state="visible" r:id="rId5"/>
    <sheet name="Minerio" sheetId="6" state="visible" r:id="rId6"/>
    <sheet name="Barras" sheetId="7" state="visible" r:id="rId7"/>
    <sheet name="Artefatos" sheetId="8" state="visible" r:id="rId8"/>
    <sheet name="Listas" sheetId="9" state="visible" r:id="rId9"/>
  </sheets>
  <definedNames>
    <definedName name="TaxaCompra">Config!$B$4</definedName>
    <definedName name="TaxaVenda">Config!$B$5</definedName>
    <definedName name="RetRefino">Config!$B$6</definedName>
    <definedName name="RetCraft">Config!$B$7</definedName>
    <definedName name="FeeRefino">Config!$B$8</definedName>
    <definedName name="FeeCraft">Config!$B$9</definedName>
    <definedName name="_xlnm._FilterDatabase" localSheetId="3" hidden="1">'Itens'!$A$3:$Y$603</definedName>
    <definedName name="_xlnm._FilterDatabase" localSheetId="7" hidden="1">'Artefatos'!$A$2:$M$77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;-#,##0.0;;@"/>
    <numFmt numFmtId="166" formatCode="#,##0;[Red]-#,##0"/>
    <numFmt numFmtId="167" formatCode="#,##0.0"/>
    <numFmt numFmtId="168" formatCode="#,##0;-#,##0;;@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FFFFFF"/>
    </font>
    <font>
      <b val="1"/>
      <color rgb="001F4E78"/>
      <sz val="12"/>
    </font>
    <font>
      <b val="1"/>
    </font>
    <font>
      <b val="1"/>
      <color rgb="000061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7F6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66" fontId="7" fillId="0" borderId="0" pivotButton="0" quotePrefix="0" xfId="0"/>
    <xf numFmtId="3" fontId="7" fillId="0" borderId="0" pivotButton="0" quotePrefix="0" xfId="0"/>
    <xf numFmtId="0" fontId="0" fillId="3" borderId="1" pivotButton="0" quotePrefix="0" xfId="0"/>
    <xf numFmtId="3" fontId="0" fillId="0" borderId="1" pivotButton="0" quotePrefix="0" xfId="0"/>
    <xf numFmtId="3" fontId="0" fillId="4" borderId="1" pivotButton="0" quotePrefix="0" xfId="0"/>
    <xf numFmtId="166" fontId="0" fillId="4" borderId="1" pivotButton="0" quotePrefix="0" xfId="0"/>
    <xf numFmtId="164" fontId="0" fillId="0" borderId="1" pivotButton="0" quotePrefix="0" xfId="0"/>
    <xf numFmtId="167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168" fontId="0" fillId="0" borderId="0" pivotButton="0" quotePrefix="0" xfId="0"/>
    <xf numFmtId="3" fontId="5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0" fontId="0" fillId="4" borderId="0" pivotButton="0" quotePrefix="0" xfId="0"/>
    <xf numFmtId="3" fontId="0" fillId="0" borderId="0" pivotButton="0" quotePrefix="0" xfId="0"/>
    <xf numFmtId="166" fontId="0" fillId="4" borderId="0" pivotButton="0" quotePrefix="0" xfId="0"/>
    <xf numFmtId="164" fontId="0" fillId="4" borderId="0" pivotButton="0" quotePrefix="0" xfId="0"/>
    <xf numFmtId="0" fontId="5" fillId="0" borderId="1" pivotButton="0" quotePrefix="0" xfId="0"/>
    <xf numFmtId="3" fontId="6" fillId="4" borderId="1" pivotButton="0" quotePrefix="0" xfId="0"/>
    <xf numFmtId="0" fontId="0" fillId="4" borderId="1" pivotButton="0" quotePrefix="0" xfId="0"/>
    <xf numFmtId="165" fontId="0" fillId="0" borderId="1" pivotButton="0" quotePrefix="0" xfId="0"/>
    <xf numFmtId="3" fontId="5" fillId="4" borderId="1" pivotButton="0" quotePrefix="0" xfId="0"/>
  </cellXfs>
  <cellStyles count="1">
    <cellStyle name="Normal" xfId="0" builtinId="0" hidden="0"/>
  </cellStyles>
  <dxfs count="1">
    <dxf>
      <font>
        <b val="1"/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95" customWidth="1" min="3" max="3"/>
  </cols>
  <sheetData>
    <row r="1">
      <c r="A1" s="1" t="inlineStr">
        <is>
          <t>Configurações gerais</t>
        </is>
      </c>
    </row>
    <row r="2">
      <c r="A2" s="2" t="inlineStr">
        <is>
          <t>Células amarelas = você preenche. Tudo na planilha obedece a esta tela.</t>
        </is>
      </c>
    </row>
    <row r="3" ht="22" customHeight="1">
      <c r="A3" s="3" t="inlineStr">
        <is>
          <t>Parâmetro</t>
        </is>
      </c>
      <c r="B3" s="3" t="inlineStr">
        <is>
          <t>Valor</t>
        </is>
      </c>
      <c r="C3" s="3" t="inlineStr">
        <is>
          <t>Como usar</t>
        </is>
      </c>
    </row>
    <row r="4">
      <c r="A4" s="4" t="inlineStr">
        <is>
          <t>Taxa de compra (ordem de compra)</t>
        </is>
      </c>
      <c r="B4" s="5" t="n">
        <v>0</v>
      </c>
      <c r="C4" s="4" t="inlineStr">
        <is>
          <t>0% se comprar direto da oferta; 2,5% se criar ordem de compra.</t>
        </is>
      </c>
    </row>
    <row r="5">
      <c r="A5" s="4" t="inlineStr">
        <is>
          <t>Taxa total de venda</t>
        </is>
      </c>
      <c r="B5" s="5" t="n">
        <v>0.065</v>
      </c>
      <c r="C5" s="4" t="inlineStr">
        <is>
          <t>6,5% com Premium (4% imposto + 2,5% ordem de venda); 10,5% sem Premium.</t>
        </is>
      </c>
    </row>
    <row r="6">
      <c r="A6" s="4" t="inlineStr">
        <is>
          <t>Retorno de recursos no REFINO</t>
        </is>
      </c>
      <c r="B6" s="5" t="n">
        <v>0.367</v>
      </c>
      <c r="C6" s="4" t="inlineStr">
        <is>
          <t>Ex.: 36,7% (cidade com bônus) ou 53,9% com foco. Use o valor da sua situação.</t>
        </is>
      </c>
    </row>
    <row r="7">
      <c r="A7" s="4" t="inlineStr">
        <is>
          <t>Retorno de recursos no CRAFT</t>
        </is>
      </c>
      <c r="B7" s="5" t="n">
        <v>0.248</v>
      </c>
      <c r="C7" s="4" t="inlineStr">
        <is>
          <t>Ex.: 24,8% (cidade com bônus de placas), 15,2% sem bônus, ~47,9% com foco.</t>
        </is>
      </c>
    </row>
    <row r="8">
      <c r="A8" s="4" t="inlineStr">
        <is>
          <t>Taxa da barraca - Refino (prata/100 nutrição)</t>
        </is>
      </c>
      <c r="B8" s="6" t="n">
        <v>465</v>
      </c>
      <c r="C8" s="4" t="inlineStr">
        <is>
          <t>Taxa mostrada na fundição. Usada em: Valor do item x 0,1125 x taxa / 100.</t>
        </is>
      </c>
    </row>
    <row r="9">
      <c r="A9" s="4" t="inlineStr">
        <is>
          <t>Taxa da barraca - Craft (prata/100 nutrição)</t>
        </is>
      </c>
      <c r="B9" s="6" t="n">
        <v>465</v>
      </c>
      <c r="C9" s="4" t="inlineStr">
        <is>
          <t>Taxa mostrada na forja de armaduras.</t>
        </is>
      </c>
    </row>
    <row r="12">
      <c r="A12" s="7" t="inlineStr">
        <is>
          <t>Como usar a planilha</t>
        </is>
      </c>
    </row>
    <row r="13">
      <c r="A13" t="inlineStr">
        <is>
          <t>1) Preencha os preços de COMPRA nas abas Minerio, Barras e Artefatos (5 cidades). Deixe em branco o que não encontrou.</t>
        </is>
      </c>
    </row>
    <row r="14">
      <c r="A14" t="inlineStr">
        <is>
          <t>2) Aba Refino: a planilha compara refinar x comprar a barra pronta e escolhe a mais barata. Para forçar, mude a coluna 'Origem' (Automático / Comprar / Refinar).</t>
        </is>
      </c>
    </row>
    <row r="15">
      <c r="A15" t="inlineStr">
        <is>
          <t>3) Aba Itens: preencha os preços de VENDA das peças (5 cidades + Caerleon + Mercado Negro). Ela calcula custo, lucro e margem de TODAS as combinações; use o filtro para ordenar.</t>
        </is>
      </c>
    </row>
    <row r="16">
      <c r="A16" t="inlineStr">
        <is>
          <t>4) Aba Craft: escolha Variante, Peça, Tier (T4.0 ... T8.4) e a quantidade. Veja custo, melhor local de venda, lucro unitário e total.</t>
        </is>
      </c>
    </row>
    <row r="17">
      <c r="A17" t="inlineStr">
        <is>
          <t>5) Aba Lista_Compras: mostra o que comprar (barras, minérios e artefatos), em qual cidade e quanto isso custa.</t>
        </is>
      </c>
    </row>
    <row r="18">
      <c r="A18" t="inlineStr">
        <is>
          <t>Observações: artefatos NÃO retornam no craft (confirmado nos dados do jogo). A taxa da barraca não é devolvida pelo retorno de recursos.</t>
        </is>
      </c>
    </row>
    <row r="19">
      <c r="A19" t="inlineStr">
        <is>
          <t>Quantidades da Lista_Compras são líquidas (já descontado o retorno de recursos esperado).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7" customWidth="1" min="3" max="3"/>
    <col width="10" customWidth="1" min="4" max="4"/>
    <col width="9" customWidth="1" min="5" max="5"/>
    <col width="9" customWidth="1" min="6" max="6"/>
    <col width="13" customWidth="1" min="7" max="7"/>
    <col width="11" customWidth="1" min="8" max="8"/>
    <col width="14" customWidth="1" min="9" max="9"/>
    <col width="11" customWidth="1" min="10" max="10"/>
    <col width="13" customWidth="1" min="11" max="11"/>
    <col width="13" customWidth="1" min="12" max="12"/>
    <col width="14" customWidth="1" min="13" max="13"/>
    <col width="13" customWidth="1" min="14" max="14"/>
    <col width="12" customWidth="1" min="15" max="15"/>
    <col width="9" customWidth="1" min="16" max="16"/>
    <col width="13" customWidth="1" min="17" max="17"/>
    <col width="13" customWidth="1" min="18" max="18"/>
    <col width="13" customWidth="1" min="19" max="19"/>
    <col width="10" customWidth="1" min="20" max="20"/>
    <col width="11" customWidth="1" min="21" max="21"/>
  </cols>
  <sheetData>
    <row r="1">
      <c r="A1" s="1" t="inlineStr">
        <is>
          <t>Planejador de craft - Placas (armadura, elmo, botas)</t>
        </is>
      </c>
    </row>
    <row r="2">
      <c r="A2" s="2" t="inlineStr">
        <is>
          <t>Escolha nas células amarelas (listas suspensas). Cada linha = um tipo de peça que você quer craftar.</t>
        </is>
      </c>
    </row>
    <row r="3">
      <c r="A3" s="8" t="inlineStr">
        <is>
          <t>LUCRO TOTAL ESPERADO:</t>
        </is>
      </c>
      <c r="D3" s="9">
        <f>SUM(Q6:Q35)</f>
        <v/>
      </c>
      <c r="F3" s="8" t="inlineStr">
        <is>
          <t>CUSTO TOTAL DO LOTE:</t>
        </is>
      </c>
      <c r="I3" s="10">
        <f>SUM(R6:R35)</f>
        <v/>
      </c>
    </row>
    <row r="5" ht="48" customHeight="1">
      <c r="A5" s="3" t="inlineStr">
        <is>
          <t>Variante</t>
        </is>
      </c>
      <c r="B5" s="3" t="inlineStr">
        <is>
          <t>Peça</t>
        </is>
      </c>
      <c r="C5" s="3" t="inlineStr">
        <is>
          <t>Tier</t>
        </is>
      </c>
      <c r="D5" s="3" t="inlineStr">
        <is>
          <t>Qtd a craftar</t>
        </is>
      </c>
      <c r="E5" s="3" t="inlineStr">
        <is>
          <t>Linha em Itens</t>
        </is>
      </c>
      <c r="F5" s="3" t="inlineStr">
        <is>
          <t>Barras por peça</t>
        </is>
      </c>
      <c r="G5" s="3" t="inlineStr">
        <is>
          <t>Custo barras (líq. retorno)</t>
        </is>
      </c>
      <c r="H5" s="3" t="inlineStr">
        <is>
          <t>Artefato (preço)</t>
        </is>
      </c>
      <c r="I5" s="3" t="inlineStr">
        <is>
          <t>Cidade do artefato</t>
        </is>
      </c>
      <c r="J5" s="3" t="inlineStr">
        <is>
          <t>Taxa do ferreiro</t>
        </is>
      </c>
      <c r="K5" s="3" t="inlineStr">
        <is>
          <t>CUSTO TOTAL / peça</t>
        </is>
      </c>
      <c r="L5" s="3" t="inlineStr">
        <is>
          <t>Melhor preço de venda</t>
        </is>
      </c>
      <c r="M5" s="3" t="inlineStr">
        <is>
          <t>Melhor local de venda</t>
        </is>
      </c>
      <c r="N5" s="3" t="inlineStr">
        <is>
          <t>Receita líquida / peça</t>
        </is>
      </c>
      <c r="O5" s="3" t="inlineStr">
        <is>
          <t>LUCRO / peça</t>
        </is>
      </c>
      <c r="P5" s="3" t="inlineStr">
        <is>
          <t>Margem</t>
        </is>
      </c>
      <c r="Q5" s="3" t="inlineStr">
        <is>
          <t>LUCRO TOTAL</t>
        </is>
      </c>
      <c r="R5" s="3" t="inlineStr">
        <is>
          <t>Custo do lote</t>
        </is>
      </c>
      <c r="S5" s="3" t="inlineStr">
        <is>
          <t>Barras líquidas (após retorno)</t>
        </is>
      </c>
      <c r="T5" s="3" t="inlineStr">
        <is>
          <t>Barras brutas</t>
        </is>
      </c>
      <c r="U5" s="3" t="inlineStr">
        <is>
          <t>Artefatos a comprar</t>
        </is>
      </c>
    </row>
    <row r="6">
      <c r="A6" s="11" t="n"/>
      <c r="B6" s="11" t="n"/>
      <c r="C6" s="11" t="n"/>
      <c r="D6" s="6" t="n"/>
      <c r="E6" s="4">
        <f>IF(OR(A6="",B6="",C6=""),"",IFERROR(MATCH(A6&amp;"|"&amp;B6&amp;"|"&amp;C6,Itens!$A$4:$A$603,0),"?"))</f>
        <v/>
      </c>
      <c r="F6" s="4">
        <f>IF(ISNUMBER($E6),INDEX(Itens!$G$4:$G$603,$E6),"")</f>
        <v/>
      </c>
      <c r="G6" s="12">
        <f>IF(ISNUMBER($E6),INDEX(Itens!$Q$4:$Q$603,$E6),"")</f>
        <v/>
      </c>
      <c r="H6" s="12">
        <f>IF(ISNUMBER($E6),INDEX(Itens!$R$4:$R$603,$E6),"")</f>
        <v/>
      </c>
      <c r="I6" s="4">
        <f>IF(ISNUMBER($E6),INDEX(Itens!$S$4:$S$603,$E6),"")</f>
        <v/>
      </c>
      <c r="J6" s="12">
        <f>IF(ISNUMBER($E6),INDEX(Itens!$U$4:$U$603,$E6),"")</f>
        <v/>
      </c>
      <c r="K6" s="13">
        <f>IF(ISNUMBER($E6),INDEX(Itens!$V$4:$V$603,$E6),"")</f>
        <v/>
      </c>
      <c r="L6" s="12">
        <f>IF(ISNUMBER($E6),INDEX(Itens!$O$4:$O$603,$E6),"")</f>
        <v/>
      </c>
      <c r="M6" s="4">
        <f>IF(ISNUMBER($E6),INDEX(Itens!$P$4:$P$603,$E6),"")</f>
        <v/>
      </c>
      <c r="N6" s="12">
        <f>IF(ISNUMBER($E6),INDEX(Itens!$W$4:$W$603,$E6),"")</f>
        <v/>
      </c>
      <c r="O6" s="14">
        <f>IF(ISNUMBER($E6),INDEX(Itens!$X$4:$X$603,$E6),"")</f>
        <v/>
      </c>
      <c r="P6" s="15">
        <f>IF(ISNUMBER($E6),INDEX(Itens!$Y$4:$Y$603,$E6),"")</f>
        <v/>
      </c>
      <c r="Q6" s="14">
        <f>IF(AND(ISNUMBER(O6),ISNUMBER(D6)),O6*D6,0)</f>
        <v/>
      </c>
      <c r="R6" s="12">
        <f>IF(AND(ISNUMBER(K6),ISNUMBER(D6)),K6*D6,0)</f>
        <v/>
      </c>
      <c r="S6" s="16">
        <f>IF(AND(ISNUMBER(F6),ISNUMBER(D6)),D6*F6*(1-RetCraft),0)</f>
        <v/>
      </c>
      <c r="T6" s="4">
        <f>IF(AND(ISNUMBER(F6),ISNUMBER(D6)),D6*F6,0)</f>
        <v/>
      </c>
      <c r="U6" s="4">
        <f>IF(AND(ISNUMBER(H6),ISNUMBER(D6)),IF(H6&gt;0,D6,0),0)</f>
        <v/>
      </c>
    </row>
    <row r="7">
      <c r="A7" s="11" t="n"/>
      <c r="B7" s="11" t="n"/>
      <c r="C7" s="11" t="n"/>
      <c r="D7" s="6" t="n"/>
      <c r="E7" s="4">
        <f>IF(OR(A7="",B7="",C7=""),"",IFERROR(MATCH(A7&amp;"|"&amp;B7&amp;"|"&amp;C7,Itens!$A$4:$A$603,0),"?"))</f>
        <v/>
      </c>
      <c r="F7" s="4">
        <f>IF(ISNUMBER($E7),INDEX(Itens!$G$4:$G$603,$E7),"")</f>
        <v/>
      </c>
      <c r="G7" s="12">
        <f>IF(ISNUMBER($E7),INDEX(Itens!$Q$4:$Q$603,$E7),"")</f>
        <v/>
      </c>
      <c r="H7" s="12">
        <f>IF(ISNUMBER($E7),INDEX(Itens!$R$4:$R$603,$E7),"")</f>
        <v/>
      </c>
      <c r="I7" s="4">
        <f>IF(ISNUMBER($E7),INDEX(Itens!$S$4:$S$603,$E7),"")</f>
        <v/>
      </c>
      <c r="J7" s="12">
        <f>IF(ISNUMBER($E7),INDEX(Itens!$U$4:$U$603,$E7),"")</f>
        <v/>
      </c>
      <c r="K7" s="13">
        <f>IF(ISNUMBER($E7),INDEX(Itens!$V$4:$V$603,$E7),"")</f>
        <v/>
      </c>
      <c r="L7" s="12">
        <f>IF(ISNUMBER($E7),INDEX(Itens!$O$4:$O$603,$E7),"")</f>
        <v/>
      </c>
      <c r="M7" s="4">
        <f>IF(ISNUMBER($E7),INDEX(Itens!$P$4:$P$603,$E7),"")</f>
        <v/>
      </c>
      <c r="N7" s="12">
        <f>IF(ISNUMBER($E7),INDEX(Itens!$W$4:$W$603,$E7),"")</f>
        <v/>
      </c>
      <c r="O7" s="14">
        <f>IF(ISNUMBER($E7),INDEX(Itens!$X$4:$X$603,$E7),"")</f>
        <v/>
      </c>
      <c r="P7" s="15">
        <f>IF(ISNUMBER($E7),INDEX(Itens!$Y$4:$Y$603,$E7),"")</f>
        <v/>
      </c>
      <c r="Q7" s="14">
        <f>IF(AND(ISNUMBER(O7),ISNUMBER(D7)),O7*D7,0)</f>
        <v/>
      </c>
      <c r="R7" s="12">
        <f>IF(AND(ISNUMBER(K7),ISNUMBER(D7)),K7*D7,0)</f>
        <v/>
      </c>
      <c r="S7" s="16">
        <f>IF(AND(ISNUMBER(F7),ISNUMBER(D7)),D7*F7*(1-RetCraft),0)</f>
        <v/>
      </c>
      <c r="T7" s="4">
        <f>IF(AND(ISNUMBER(F7),ISNUMBER(D7)),D7*F7,0)</f>
        <v/>
      </c>
      <c r="U7" s="4">
        <f>IF(AND(ISNUMBER(H7),ISNUMBER(D7)),IF(H7&gt;0,D7,0),0)</f>
        <v/>
      </c>
    </row>
    <row r="8">
      <c r="A8" s="11" t="n"/>
      <c r="B8" s="11" t="n"/>
      <c r="C8" s="11" t="n"/>
      <c r="D8" s="6" t="n"/>
      <c r="E8" s="4">
        <f>IF(OR(A8="",B8="",C8=""),"",IFERROR(MATCH(A8&amp;"|"&amp;B8&amp;"|"&amp;C8,Itens!$A$4:$A$603,0),"?"))</f>
        <v/>
      </c>
      <c r="F8" s="4">
        <f>IF(ISNUMBER($E8),INDEX(Itens!$G$4:$G$603,$E8),"")</f>
        <v/>
      </c>
      <c r="G8" s="12">
        <f>IF(ISNUMBER($E8),INDEX(Itens!$Q$4:$Q$603,$E8),"")</f>
        <v/>
      </c>
      <c r="H8" s="12">
        <f>IF(ISNUMBER($E8),INDEX(Itens!$R$4:$R$603,$E8),"")</f>
        <v/>
      </c>
      <c r="I8" s="4">
        <f>IF(ISNUMBER($E8),INDEX(Itens!$S$4:$S$603,$E8),"")</f>
        <v/>
      </c>
      <c r="J8" s="12">
        <f>IF(ISNUMBER($E8),INDEX(Itens!$U$4:$U$603,$E8),"")</f>
        <v/>
      </c>
      <c r="K8" s="13">
        <f>IF(ISNUMBER($E8),INDEX(Itens!$V$4:$V$603,$E8),"")</f>
        <v/>
      </c>
      <c r="L8" s="12">
        <f>IF(ISNUMBER($E8),INDEX(Itens!$O$4:$O$603,$E8),"")</f>
        <v/>
      </c>
      <c r="M8" s="4">
        <f>IF(ISNUMBER($E8),INDEX(Itens!$P$4:$P$603,$E8),"")</f>
        <v/>
      </c>
      <c r="N8" s="12">
        <f>IF(ISNUMBER($E8),INDEX(Itens!$W$4:$W$603,$E8),"")</f>
        <v/>
      </c>
      <c r="O8" s="14">
        <f>IF(ISNUMBER($E8),INDEX(Itens!$X$4:$X$603,$E8),"")</f>
        <v/>
      </c>
      <c r="P8" s="15">
        <f>IF(ISNUMBER($E8),INDEX(Itens!$Y$4:$Y$603,$E8),"")</f>
        <v/>
      </c>
      <c r="Q8" s="14">
        <f>IF(AND(ISNUMBER(O8),ISNUMBER(D8)),O8*D8,0)</f>
        <v/>
      </c>
      <c r="R8" s="12">
        <f>IF(AND(ISNUMBER(K8),ISNUMBER(D8)),K8*D8,0)</f>
        <v/>
      </c>
      <c r="S8" s="16">
        <f>IF(AND(ISNUMBER(F8),ISNUMBER(D8)),D8*F8*(1-RetCraft),0)</f>
        <v/>
      </c>
      <c r="T8" s="4">
        <f>IF(AND(ISNUMBER(F8),ISNUMBER(D8)),D8*F8,0)</f>
        <v/>
      </c>
      <c r="U8" s="4">
        <f>IF(AND(ISNUMBER(H8),ISNUMBER(D8)),IF(H8&gt;0,D8,0),0)</f>
        <v/>
      </c>
    </row>
    <row r="9">
      <c r="A9" s="11" t="n"/>
      <c r="B9" s="11" t="n"/>
      <c r="C9" s="11" t="n"/>
      <c r="D9" s="6" t="n"/>
      <c r="E9" s="4">
        <f>IF(OR(A9="",B9="",C9=""),"",IFERROR(MATCH(A9&amp;"|"&amp;B9&amp;"|"&amp;C9,Itens!$A$4:$A$603,0),"?"))</f>
        <v/>
      </c>
      <c r="F9" s="4">
        <f>IF(ISNUMBER($E9),INDEX(Itens!$G$4:$G$603,$E9),"")</f>
        <v/>
      </c>
      <c r="G9" s="12">
        <f>IF(ISNUMBER($E9),INDEX(Itens!$Q$4:$Q$603,$E9),"")</f>
        <v/>
      </c>
      <c r="H9" s="12">
        <f>IF(ISNUMBER($E9),INDEX(Itens!$R$4:$R$603,$E9),"")</f>
        <v/>
      </c>
      <c r="I9" s="4">
        <f>IF(ISNUMBER($E9),INDEX(Itens!$S$4:$S$603,$E9),"")</f>
        <v/>
      </c>
      <c r="J9" s="12">
        <f>IF(ISNUMBER($E9),INDEX(Itens!$U$4:$U$603,$E9),"")</f>
        <v/>
      </c>
      <c r="K9" s="13">
        <f>IF(ISNUMBER($E9),INDEX(Itens!$V$4:$V$603,$E9),"")</f>
        <v/>
      </c>
      <c r="L9" s="12">
        <f>IF(ISNUMBER($E9),INDEX(Itens!$O$4:$O$603,$E9),"")</f>
        <v/>
      </c>
      <c r="M9" s="4">
        <f>IF(ISNUMBER($E9),INDEX(Itens!$P$4:$P$603,$E9),"")</f>
        <v/>
      </c>
      <c r="N9" s="12">
        <f>IF(ISNUMBER($E9),INDEX(Itens!$W$4:$W$603,$E9),"")</f>
        <v/>
      </c>
      <c r="O9" s="14">
        <f>IF(ISNUMBER($E9),INDEX(Itens!$X$4:$X$603,$E9),"")</f>
        <v/>
      </c>
      <c r="P9" s="15">
        <f>IF(ISNUMBER($E9),INDEX(Itens!$Y$4:$Y$603,$E9),"")</f>
        <v/>
      </c>
      <c r="Q9" s="14">
        <f>IF(AND(ISNUMBER(O9),ISNUMBER(D9)),O9*D9,0)</f>
        <v/>
      </c>
      <c r="R9" s="12">
        <f>IF(AND(ISNUMBER(K9),ISNUMBER(D9)),K9*D9,0)</f>
        <v/>
      </c>
      <c r="S9" s="16">
        <f>IF(AND(ISNUMBER(F9),ISNUMBER(D9)),D9*F9*(1-RetCraft),0)</f>
        <v/>
      </c>
      <c r="T9" s="4">
        <f>IF(AND(ISNUMBER(F9),ISNUMBER(D9)),D9*F9,0)</f>
        <v/>
      </c>
      <c r="U9" s="4">
        <f>IF(AND(ISNUMBER(H9),ISNUMBER(D9)),IF(H9&gt;0,D9,0),0)</f>
        <v/>
      </c>
    </row>
    <row r="10">
      <c r="A10" s="11" t="n"/>
      <c r="B10" s="11" t="n"/>
      <c r="C10" s="11" t="n"/>
      <c r="D10" s="6" t="n"/>
      <c r="E10" s="4">
        <f>IF(OR(A10="",B10="",C10=""),"",IFERROR(MATCH(A10&amp;"|"&amp;B10&amp;"|"&amp;C10,Itens!$A$4:$A$603,0),"?"))</f>
        <v/>
      </c>
      <c r="F10" s="4">
        <f>IF(ISNUMBER($E10),INDEX(Itens!$G$4:$G$603,$E10),"")</f>
        <v/>
      </c>
      <c r="G10" s="12">
        <f>IF(ISNUMBER($E10),INDEX(Itens!$Q$4:$Q$603,$E10),"")</f>
        <v/>
      </c>
      <c r="H10" s="12">
        <f>IF(ISNUMBER($E10),INDEX(Itens!$R$4:$R$603,$E10),"")</f>
        <v/>
      </c>
      <c r="I10" s="4">
        <f>IF(ISNUMBER($E10),INDEX(Itens!$S$4:$S$603,$E10),"")</f>
        <v/>
      </c>
      <c r="J10" s="12">
        <f>IF(ISNUMBER($E10),INDEX(Itens!$U$4:$U$603,$E10),"")</f>
        <v/>
      </c>
      <c r="K10" s="13">
        <f>IF(ISNUMBER($E10),INDEX(Itens!$V$4:$V$603,$E10),"")</f>
        <v/>
      </c>
      <c r="L10" s="12">
        <f>IF(ISNUMBER($E10),INDEX(Itens!$O$4:$O$603,$E10),"")</f>
        <v/>
      </c>
      <c r="M10" s="4">
        <f>IF(ISNUMBER($E10),INDEX(Itens!$P$4:$P$603,$E10),"")</f>
        <v/>
      </c>
      <c r="N10" s="12">
        <f>IF(ISNUMBER($E10),INDEX(Itens!$W$4:$W$603,$E10),"")</f>
        <v/>
      </c>
      <c r="O10" s="14">
        <f>IF(ISNUMBER($E10),INDEX(Itens!$X$4:$X$603,$E10),"")</f>
        <v/>
      </c>
      <c r="P10" s="15">
        <f>IF(ISNUMBER($E10),INDEX(Itens!$Y$4:$Y$603,$E10),"")</f>
        <v/>
      </c>
      <c r="Q10" s="14">
        <f>IF(AND(ISNUMBER(O10),ISNUMBER(D10)),O10*D10,0)</f>
        <v/>
      </c>
      <c r="R10" s="12">
        <f>IF(AND(ISNUMBER(K10),ISNUMBER(D10)),K10*D10,0)</f>
        <v/>
      </c>
      <c r="S10" s="16">
        <f>IF(AND(ISNUMBER(F10),ISNUMBER(D10)),D10*F10*(1-RetCraft),0)</f>
        <v/>
      </c>
      <c r="T10" s="4">
        <f>IF(AND(ISNUMBER(F10),ISNUMBER(D10)),D10*F10,0)</f>
        <v/>
      </c>
      <c r="U10" s="4">
        <f>IF(AND(ISNUMBER(H10),ISNUMBER(D10)),IF(H10&gt;0,D10,0),0)</f>
        <v/>
      </c>
    </row>
    <row r="11">
      <c r="A11" s="11" t="n"/>
      <c r="B11" s="11" t="n"/>
      <c r="C11" s="11" t="n"/>
      <c r="D11" s="6" t="n"/>
      <c r="E11" s="4">
        <f>IF(OR(A11="",B11="",C11=""),"",IFERROR(MATCH(A11&amp;"|"&amp;B11&amp;"|"&amp;C11,Itens!$A$4:$A$603,0),"?"))</f>
        <v/>
      </c>
      <c r="F11" s="4">
        <f>IF(ISNUMBER($E11),INDEX(Itens!$G$4:$G$603,$E11),"")</f>
        <v/>
      </c>
      <c r="G11" s="12">
        <f>IF(ISNUMBER($E11),INDEX(Itens!$Q$4:$Q$603,$E11),"")</f>
        <v/>
      </c>
      <c r="H11" s="12">
        <f>IF(ISNUMBER($E11),INDEX(Itens!$R$4:$R$603,$E11),"")</f>
        <v/>
      </c>
      <c r="I11" s="4">
        <f>IF(ISNUMBER($E11),INDEX(Itens!$S$4:$S$603,$E11),"")</f>
        <v/>
      </c>
      <c r="J11" s="12">
        <f>IF(ISNUMBER($E11),INDEX(Itens!$U$4:$U$603,$E11),"")</f>
        <v/>
      </c>
      <c r="K11" s="13">
        <f>IF(ISNUMBER($E11),INDEX(Itens!$V$4:$V$603,$E11),"")</f>
        <v/>
      </c>
      <c r="L11" s="12">
        <f>IF(ISNUMBER($E11),INDEX(Itens!$O$4:$O$603,$E11),"")</f>
        <v/>
      </c>
      <c r="M11" s="4">
        <f>IF(ISNUMBER($E11),INDEX(Itens!$P$4:$P$603,$E11),"")</f>
        <v/>
      </c>
      <c r="N11" s="12">
        <f>IF(ISNUMBER($E11),INDEX(Itens!$W$4:$W$603,$E11),"")</f>
        <v/>
      </c>
      <c r="O11" s="14">
        <f>IF(ISNUMBER($E11),INDEX(Itens!$X$4:$X$603,$E11),"")</f>
        <v/>
      </c>
      <c r="P11" s="15">
        <f>IF(ISNUMBER($E11),INDEX(Itens!$Y$4:$Y$603,$E11),"")</f>
        <v/>
      </c>
      <c r="Q11" s="14">
        <f>IF(AND(ISNUMBER(O11),ISNUMBER(D11)),O11*D11,0)</f>
        <v/>
      </c>
      <c r="R11" s="12">
        <f>IF(AND(ISNUMBER(K11),ISNUMBER(D11)),K11*D11,0)</f>
        <v/>
      </c>
      <c r="S11" s="16">
        <f>IF(AND(ISNUMBER(F11),ISNUMBER(D11)),D11*F11*(1-RetCraft),0)</f>
        <v/>
      </c>
      <c r="T11" s="4">
        <f>IF(AND(ISNUMBER(F11),ISNUMBER(D11)),D11*F11,0)</f>
        <v/>
      </c>
      <c r="U11" s="4">
        <f>IF(AND(ISNUMBER(H11),ISNUMBER(D11)),IF(H11&gt;0,D11,0),0)</f>
        <v/>
      </c>
    </row>
    <row r="12">
      <c r="A12" s="11" t="n"/>
      <c r="B12" s="11" t="n"/>
      <c r="C12" s="11" t="n"/>
      <c r="D12" s="6" t="n"/>
      <c r="E12" s="4">
        <f>IF(OR(A12="",B12="",C12=""),"",IFERROR(MATCH(A12&amp;"|"&amp;B12&amp;"|"&amp;C12,Itens!$A$4:$A$603,0),"?"))</f>
        <v/>
      </c>
      <c r="F12" s="4">
        <f>IF(ISNUMBER($E12),INDEX(Itens!$G$4:$G$603,$E12),"")</f>
        <v/>
      </c>
      <c r="G12" s="12">
        <f>IF(ISNUMBER($E12),INDEX(Itens!$Q$4:$Q$603,$E12),"")</f>
        <v/>
      </c>
      <c r="H12" s="12">
        <f>IF(ISNUMBER($E12),INDEX(Itens!$R$4:$R$603,$E12),"")</f>
        <v/>
      </c>
      <c r="I12" s="4">
        <f>IF(ISNUMBER($E12),INDEX(Itens!$S$4:$S$603,$E12),"")</f>
        <v/>
      </c>
      <c r="J12" s="12">
        <f>IF(ISNUMBER($E12),INDEX(Itens!$U$4:$U$603,$E12),"")</f>
        <v/>
      </c>
      <c r="K12" s="13">
        <f>IF(ISNUMBER($E12),INDEX(Itens!$V$4:$V$603,$E12),"")</f>
        <v/>
      </c>
      <c r="L12" s="12">
        <f>IF(ISNUMBER($E12),INDEX(Itens!$O$4:$O$603,$E12),"")</f>
        <v/>
      </c>
      <c r="M12" s="4">
        <f>IF(ISNUMBER($E12),INDEX(Itens!$P$4:$P$603,$E12),"")</f>
        <v/>
      </c>
      <c r="N12" s="12">
        <f>IF(ISNUMBER($E12),INDEX(Itens!$W$4:$W$603,$E12),"")</f>
        <v/>
      </c>
      <c r="O12" s="14">
        <f>IF(ISNUMBER($E12),INDEX(Itens!$X$4:$X$603,$E12),"")</f>
        <v/>
      </c>
      <c r="P12" s="15">
        <f>IF(ISNUMBER($E12),INDEX(Itens!$Y$4:$Y$603,$E12),"")</f>
        <v/>
      </c>
      <c r="Q12" s="14">
        <f>IF(AND(ISNUMBER(O12),ISNUMBER(D12)),O12*D12,0)</f>
        <v/>
      </c>
      <c r="R12" s="12">
        <f>IF(AND(ISNUMBER(K12),ISNUMBER(D12)),K12*D12,0)</f>
        <v/>
      </c>
      <c r="S12" s="16">
        <f>IF(AND(ISNUMBER(F12),ISNUMBER(D12)),D12*F12*(1-RetCraft),0)</f>
        <v/>
      </c>
      <c r="T12" s="4">
        <f>IF(AND(ISNUMBER(F12),ISNUMBER(D12)),D12*F12,0)</f>
        <v/>
      </c>
      <c r="U12" s="4">
        <f>IF(AND(ISNUMBER(H12),ISNUMBER(D12)),IF(H12&gt;0,D12,0),0)</f>
        <v/>
      </c>
    </row>
    <row r="13">
      <c r="A13" s="11" t="n"/>
      <c r="B13" s="11" t="n"/>
      <c r="C13" s="11" t="n"/>
      <c r="D13" s="6" t="n"/>
      <c r="E13" s="4">
        <f>IF(OR(A13="",B13="",C13=""),"",IFERROR(MATCH(A13&amp;"|"&amp;B13&amp;"|"&amp;C13,Itens!$A$4:$A$603,0),"?"))</f>
        <v/>
      </c>
      <c r="F13" s="4">
        <f>IF(ISNUMBER($E13),INDEX(Itens!$G$4:$G$603,$E13),"")</f>
        <v/>
      </c>
      <c r="G13" s="12">
        <f>IF(ISNUMBER($E13),INDEX(Itens!$Q$4:$Q$603,$E13),"")</f>
        <v/>
      </c>
      <c r="H13" s="12">
        <f>IF(ISNUMBER($E13),INDEX(Itens!$R$4:$R$603,$E13),"")</f>
        <v/>
      </c>
      <c r="I13" s="4">
        <f>IF(ISNUMBER($E13),INDEX(Itens!$S$4:$S$603,$E13),"")</f>
        <v/>
      </c>
      <c r="J13" s="12">
        <f>IF(ISNUMBER($E13),INDEX(Itens!$U$4:$U$603,$E13),"")</f>
        <v/>
      </c>
      <c r="K13" s="13">
        <f>IF(ISNUMBER($E13),INDEX(Itens!$V$4:$V$603,$E13),"")</f>
        <v/>
      </c>
      <c r="L13" s="12">
        <f>IF(ISNUMBER($E13),INDEX(Itens!$O$4:$O$603,$E13),"")</f>
        <v/>
      </c>
      <c r="M13" s="4">
        <f>IF(ISNUMBER($E13),INDEX(Itens!$P$4:$P$603,$E13),"")</f>
        <v/>
      </c>
      <c r="N13" s="12">
        <f>IF(ISNUMBER($E13),INDEX(Itens!$W$4:$W$603,$E13),"")</f>
        <v/>
      </c>
      <c r="O13" s="14">
        <f>IF(ISNUMBER($E13),INDEX(Itens!$X$4:$X$603,$E13),"")</f>
        <v/>
      </c>
      <c r="P13" s="15">
        <f>IF(ISNUMBER($E13),INDEX(Itens!$Y$4:$Y$603,$E13),"")</f>
        <v/>
      </c>
      <c r="Q13" s="14">
        <f>IF(AND(ISNUMBER(O13),ISNUMBER(D13)),O13*D13,0)</f>
        <v/>
      </c>
      <c r="R13" s="12">
        <f>IF(AND(ISNUMBER(K13),ISNUMBER(D13)),K13*D13,0)</f>
        <v/>
      </c>
      <c r="S13" s="16">
        <f>IF(AND(ISNUMBER(F13),ISNUMBER(D13)),D13*F13*(1-RetCraft),0)</f>
        <v/>
      </c>
      <c r="T13" s="4">
        <f>IF(AND(ISNUMBER(F13),ISNUMBER(D13)),D13*F13,0)</f>
        <v/>
      </c>
      <c r="U13" s="4">
        <f>IF(AND(ISNUMBER(H13),ISNUMBER(D13)),IF(H13&gt;0,D13,0),0)</f>
        <v/>
      </c>
    </row>
    <row r="14">
      <c r="A14" s="11" t="n"/>
      <c r="B14" s="11" t="n"/>
      <c r="C14" s="11" t="n"/>
      <c r="D14" s="6" t="n"/>
      <c r="E14" s="4">
        <f>IF(OR(A14="",B14="",C14=""),"",IFERROR(MATCH(A14&amp;"|"&amp;B14&amp;"|"&amp;C14,Itens!$A$4:$A$603,0),"?"))</f>
        <v/>
      </c>
      <c r="F14" s="4">
        <f>IF(ISNUMBER($E14),INDEX(Itens!$G$4:$G$603,$E14),"")</f>
        <v/>
      </c>
      <c r="G14" s="12">
        <f>IF(ISNUMBER($E14),INDEX(Itens!$Q$4:$Q$603,$E14),"")</f>
        <v/>
      </c>
      <c r="H14" s="12">
        <f>IF(ISNUMBER($E14),INDEX(Itens!$R$4:$R$603,$E14),"")</f>
        <v/>
      </c>
      <c r="I14" s="4">
        <f>IF(ISNUMBER($E14),INDEX(Itens!$S$4:$S$603,$E14),"")</f>
        <v/>
      </c>
      <c r="J14" s="12">
        <f>IF(ISNUMBER($E14),INDEX(Itens!$U$4:$U$603,$E14),"")</f>
        <v/>
      </c>
      <c r="K14" s="13">
        <f>IF(ISNUMBER($E14),INDEX(Itens!$V$4:$V$603,$E14),"")</f>
        <v/>
      </c>
      <c r="L14" s="12">
        <f>IF(ISNUMBER($E14),INDEX(Itens!$O$4:$O$603,$E14),"")</f>
        <v/>
      </c>
      <c r="M14" s="4">
        <f>IF(ISNUMBER($E14),INDEX(Itens!$P$4:$P$603,$E14),"")</f>
        <v/>
      </c>
      <c r="N14" s="12">
        <f>IF(ISNUMBER($E14),INDEX(Itens!$W$4:$W$603,$E14),"")</f>
        <v/>
      </c>
      <c r="O14" s="14">
        <f>IF(ISNUMBER($E14),INDEX(Itens!$X$4:$X$603,$E14),"")</f>
        <v/>
      </c>
      <c r="P14" s="15">
        <f>IF(ISNUMBER($E14),INDEX(Itens!$Y$4:$Y$603,$E14),"")</f>
        <v/>
      </c>
      <c r="Q14" s="14">
        <f>IF(AND(ISNUMBER(O14),ISNUMBER(D14)),O14*D14,0)</f>
        <v/>
      </c>
      <c r="R14" s="12">
        <f>IF(AND(ISNUMBER(K14),ISNUMBER(D14)),K14*D14,0)</f>
        <v/>
      </c>
      <c r="S14" s="16">
        <f>IF(AND(ISNUMBER(F14),ISNUMBER(D14)),D14*F14*(1-RetCraft),0)</f>
        <v/>
      </c>
      <c r="T14" s="4">
        <f>IF(AND(ISNUMBER(F14),ISNUMBER(D14)),D14*F14,0)</f>
        <v/>
      </c>
      <c r="U14" s="4">
        <f>IF(AND(ISNUMBER(H14),ISNUMBER(D14)),IF(H14&gt;0,D14,0),0)</f>
        <v/>
      </c>
    </row>
    <row r="15">
      <c r="A15" s="11" t="n"/>
      <c r="B15" s="11" t="n"/>
      <c r="C15" s="11" t="n"/>
      <c r="D15" s="6" t="n"/>
      <c r="E15" s="4">
        <f>IF(OR(A15="",B15="",C15=""),"",IFERROR(MATCH(A15&amp;"|"&amp;B15&amp;"|"&amp;C15,Itens!$A$4:$A$603,0),"?"))</f>
        <v/>
      </c>
      <c r="F15" s="4">
        <f>IF(ISNUMBER($E15),INDEX(Itens!$G$4:$G$603,$E15),"")</f>
        <v/>
      </c>
      <c r="G15" s="12">
        <f>IF(ISNUMBER($E15),INDEX(Itens!$Q$4:$Q$603,$E15),"")</f>
        <v/>
      </c>
      <c r="H15" s="12">
        <f>IF(ISNUMBER($E15),INDEX(Itens!$R$4:$R$603,$E15),"")</f>
        <v/>
      </c>
      <c r="I15" s="4">
        <f>IF(ISNUMBER($E15),INDEX(Itens!$S$4:$S$603,$E15),"")</f>
        <v/>
      </c>
      <c r="J15" s="12">
        <f>IF(ISNUMBER($E15),INDEX(Itens!$U$4:$U$603,$E15),"")</f>
        <v/>
      </c>
      <c r="K15" s="13">
        <f>IF(ISNUMBER($E15),INDEX(Itens!$V$4:$V$603,$E15),"")</f>
        <v/>
      </c>
      <c r="L15" s="12">
        <f>IF(ISNUMBER($E15),INDEX(Itens!$O$4:$O$603,$E15),"")</f>
        <v/>
      </c>
      <c r="M15" s="4">
        <f>IF(ISNUMBER($E15),INDEX(Itens!$P$4:$P$603,$E15),"")</f>
        <v/>
      </c>
      <c r="N15" s="12">
        <f>IF(ISNUMBER($E15),INDEX(Itens!$W$4:$W$603,$E15),"")</f>
        <v/>
      </c>
      <c r="O15" s="14">
        <f>IF(ISNUMBER($E15),INDEX(Itens!$X$4:$X$603,$E15),"")</f>
        <v/>
      </c>
      <c r="P15" s="15">
        <f>IF(ISNUMBER($E15),INDEX(Itens!$Y$4:$Y$603,$E15),"")</f>
        <v/>
      </c>
      <c r="Q15" s="14">
        <f>IF(AND(ISNUMBER(O15),ISNUMBER(D15)),O15*D15,0)</f>
        <v/>
      </c>
      <c r="R15" s="12">
        <f>IF(AND(ISNUMBER(K15),ISNUMBER(D15)),K15*D15,0)</f>
        <v/>
      </c>
      <c r="S15" s="16">
        <f>IF(AND(ISNUMBER(F15),ISNUMBER(D15)),D15*F15*(1-RetCraft),0)</f>
        <v/>
      </c>
      <c r="T15" s="4">
        <f>IF(AND(ISNUMBER(F15),ISNUMBER(D15)),D15*F15,0)</f>
        <v/>
      </c>
      <c r="U15" s="4">
        <f>IF(AND(ISNUMBER(H15),ISNUMBER(D15)),IF(H15&gt;0,D15,0),0)</f>
        <v/>
      </c>
    </row>
    <row r="16">
      <c r="A16" s="11" t="n"/>
      <c r="B16" s="11" t="n"/>
      <c r="C16" s="11" t="n"/>
      <c r="D16" s="6" t="n"/>
      <c r="E16" s="4">
        <f>IF(OR(A16="",B16="",C16=""),"",IFERROR(MATCH(A16&amp;"|"&amp;B16&amp;"|"&amp;C16,Itens!$A$4:$A$603,0),"?"))</f>
        <v/>
      </c>
      <c r="F16" s="4">
        <f>IF(ISNUMBER($E16),INDEX(Itens!$G$4:$G$603,$E16),"")</f>
        <v/>
      </c>
      <c r="G16" s="12">
        <f>IF(ISNUMBER($E16),INDEX(Itens!$Q$4:$Q$603,$E16),"")</f>
        <v/>
      </c>
      <c r="H16" s="12">
        <f>IF(ISNUMBER($E16),INDEX(Itens!$R$4:$R$603,$E16),"")</f>
        <v/>
      </c>
      <c r="I16" s="4">
        <f>IF(ISNUMBER($E16),INDEX(Itens!$S$4:$S$603,$E16),"")</f>
        <v/>
      </c>
      <c r="J16" s="12">
        <f>IF(ISNUMBER($E16),INDEX(Itens!$U$4:$U$603,$E16),"")</f>
        <v/>
      </c>
      <c r="K16" s="13">
        <f>IF(ISNUMBER($E16),INDEX(Itens!$V$4:$V$603,$E16),"")</f>
        <v/>
      </c>
      <c r="L16" s="12">
        <f>IF(ISNUMBER($E16),INDEX(Itens!$O$4:$O$603,$E16),"")</f>
        <v/>
      </c>
      <c r="M16" s="4">
        <f>IF(ISNUMBER($E16),INDEX(Itens!$P$4:$P$603,$E16),"")</f>
        <v/>
      </c>
      <c r="N16" s="12">
        <f>IF(ISNUMBER($E16),INDEX(Itens!$W$4:$W$603,$E16),"")</f>
        <v/>
      </c>
      <c r="O16" s="14">
        <f>IF(ISNUMBER($E16),INDEX(Itens!$X$4:$X$603,$E16),"")</f>
        <v/>
      </c>
      <c r="P16" s="15">
        <f>IF(ISNUMBER($E16),INDEX(Itens!$Y$4:$Y$603,$E16),"")</f>
        <v/>
      </c>
      <c r="Q16" s="14">
        <f>IF(AND(ISNUMBER(O16),ISNUMBER(D16)),O16*D16,0)</f>
        <v/>
      </c>
      <c r="R16" s="12">
        <f>IF(AND(ISNUMBER(K16),ISNUMBER(D16)),K16*D16,0)</f>
        <v/>
      </c>
      <c r="S16" s="16">
        <f>IF(AND(ISNUMBER(F16),ISNUMBER(D16)),D16*F16*(1-RetCraft),0)</f>
        <v/>
      </c>
      <c r="T16" s="4">
        <f>IF(AND(ISNUMBER(F16),ISNUMBER(D16)),D16*F16,0)</f>
        <v/>
      </c>
      <c r="U16" s="4">
        <f>IF(AND(ISNUMBER(H16),ISNUMBER(D16)),IF(H16&gt;0,D16,0),0)</f>
        <v/>
      </c>
    </row>
    <row r="17">
      <c r="A17" s="11" t="n"/>
      <c r="B17" s="11" t="n"/>
      <c r="C17" s="11" t="n"/>
      <c r="D17" s="6" t="n"/>
      <c r="E17" s="4">
        <f>IF(OR(A17="",B17="",C17=""),"",IFERROR(MATCH(A17&amp;"|"&amp;B17&amp;"|"&amp;C17,Itens!$A$4:$A$603,0),"?"))</f>
        <v/>
      </c>
      <c r="F17" s="4">
        <f>IF(ISNUMBER($E17),INDEX(Itens!$G$4:$G$603,$E17),"")</f>
        <v/>
      </c>
      <c r="G17" s="12">
        <f>IF(ISNUMBER($E17),INDEX(Itens!$Q$4:$Q$603,$E17),"")</f>
        <v/>
      </c>
      <c r="H17" s="12">
        <f>IF(ISNUMBER($E17),INDEX(Itens!$R$4:$R$603,$E17),"")</f>
        <v/>
      </c>
      <c r="I17" s="4">
        <f>IF(ISNUMBER($E17),INDEX(Itens!$S$4:$S$603,$E17),"")</f>
        <v/>
      </c>
      <c r="J17" s="12">
        <f>IF(ISNUMBER($E17),INDEX(Itens!$U$4:$U$603,$E17),"")</f>
        <v/>
      </c>
      <c r="K17" s="13">
        <f>IF(ISNUMBER($E17),INDEX(Itens!$V$4:$V$603,$E17),"")</f>
        <v/>
      </c>
      <c r="L17" s="12">
        <f>IF(ISNUMBER($E17),INDEX(Itens!$O$4:$O$603,$E17),"")</f>
        <v/>
      </c>
      <c r="M17" s="4">
        <f>IF(ISNUMBER($E17),INDEX(Itens!$P$4:$P$603,$E17),"")</f>
        <v/>
      </c>
      <c r="N17" s="12">
        <f>IF(ISNUMBER($E17),INDEX(Itens!$W$4:$W$603,$E17),"")</f>
        <v/>
      </c>
      <c r="O17" s="14">
        <f>IF(ISNUMBER($E17),INDEX(Itens!$X$4:$X$603,$E17),"")</f>
        <v/>
      </c>
      <c r="P17" s="15">
        <f>IF(ISNUMBER($E17),INDEX(Itens!$Y$4:$Y$603,$E17),"")</f>
        <v/>
      </c>
      <c r="Q17" s="14">
        <f>IF(AND(ISNUMBER(O17),ISNUMBER(D17)),O17*D17,0)</f>
        <v/>
      </c>
      <c r="R17" s="12">
        <f>IF(AND(ISNUMBER(K17),ISNUMBER(D17)),K17*D17,0)</f>
        <v/>
      </c>
      <c r="S17" s="16">
        <f>IF(AND(ISNUMBER(F17),ISNUMBER(D17)),D17*F17*(1-RetCraft),0)</f>
        <v/>
      </c>
      <c r="T17" s="4">
        <f>IF(AND(ISNUMBER(F17),ISNUMBER(D17)),D17*F17,0)</f>
        <v/>
      </c>
      <c r="U17" s="4">
        <f>IF(AND(ISNUMBER(H17),ISNUMBER(D17)),IF(H17&gt;0,D17,0),0)</f>
        <v/>
      </c>
    </row>
    <row r="18">
      <c r="A18" s="11" t="n"/>
      <c r="B18" s="11" t="n"/>
      <c r="C18" s="11" t="n"/>
      <c r="D18" s="6" t="n"/>
      <c r="E18" s="4">
        <f>IF(OR(A18="",B18="",C18=""),"",IFERROR(MATCH(A18&amp;"|"&amp;B18&amp;"|"&amp;C18,Itens!$A$4:$A$603,0),"?"))</f>
        <v/>
      </c>
      <c r="F18" s="4">
        <f>IF(ISNUMBER($E18),INDEX(Itens!$G$4:$G$603,$E18),"")</f>
        <v/>
      </c>
      <c r="G18" s="12">
        <f>IF(ISNUMBER($E18),INDEX(Itens!$Q$4:$Q$603,$E18),"")</f>
        <v/>
      </c>
      <c r="H18" s="12">
        <f>IF(ISNUMBER($E18),INDEX(Itens!$R$4:$R$603,$E18),"")</f>
        <v/>
      </c>
      <c r="I18" s="4">
        <f>IF(ISNUMBER($E18),INDEX(Itens!$S$4:$S$603,$E18),"")</f>
        <v/>
      </c>
      <c r="J18" s="12">
        <f>IF(ISNUMBER($E18),INDEX(Itens!$U$4:$U$603,$E18),"")</f>
        <v/>
      </c>
      <c r="K18" s="13">
        <f>IF(ISNUMBER($E18),INDEX(Itens!$V$4:$V$603,$E18),"")</f>
        <v/>
      </c>
      <c r="L18" s="12">
        <f>IF(ISNUMBER($E18),INDEX(Itens!$O$4:$O$603,$E18),"")</f>
        <v/>
      </c>
      <c r="M18" s="4">
        <f>IF(ISNUMBER($E18),INDEX(Itens!$P$4:$P$603,$E18),"")</f>
        <v/>
      </c>
      <c r="N18" s="12">
        <f>IF(ISNUMBER($E18),INDEX(Itens!$W$4:$W$603,$E18),"")</f>
        <v/>
      </c>
      <c r="O18" s="14">
        <f>IF(ISNUMBER($E18),INDEX(Itens!$X$4:$X$603,$E18),"")</f>
        <v/>
      </c>
      <c r="P18" s="15">
        <f>IF(ISNUMBER($E18),INDEX(Itens!$Y$4:$Y$603,$E18),"")</f>
        <v/>
      </c>
      <c r="Q18" s="14">
        <f>IF(AND(ISNUMBER(O18),ISNUMBER(D18)),O18*D18,0)</f>
        <v/>
      </c>
      <c r="R18" s="12">
        <f>IF(AND(ISNUMBER(K18),ISNUMBER(D18)),K18*D18,0)</f>
        <v/>
      </c>
      <c r="S18" s="16">
        <f>IF(AND(ISNUMBER(F18),ISNUMBER(D18)),D18*F18*(1-RetCraft),0)</f>
        <v/>
      </c>
      <c r="T18" s="4">
        <f>IF(AND(ISNUMBER(F18),ISNUMBER(D18)),D18*F18,0)</f>
        <v/>
      </c>
      <c r="U18" s="4">
        <f>IF(AND(ISNUMBER(H18),ISNUMBER(D18)),IF(H18&gt;0,D18,0),0)</f>
        <v/>
      </c>
    </row>
    <row r="19">
      <c r="A19" s="11" t="n"/>
      <c r="B19" s="11" t="n"/>
      <c r="C19" s="11" t="n"/>
      <c r="D19" s="6" t="n"/>
      <c r="E19" s="4">
        <f>IF(OR(A19="",B19="",C19=""),"",IFERROR(MATCH(A19&amp;"|"&amp;B19&amp;"|"&amp;C19,Itens!$A$4:$A$603,0),"?"))</f>
        <v/>
      </c>
      <c r="F19" s="4">
        <f>IF(ISNUMBER($E19),INDEX(Itens!$G$4:$G$603,$E19),"")</f>
        <v/>
      </c>
      <c r="G19" s="12">
        <f>IF(ISNUMBER($E19),INDEX(Itens!$Q$4:$Q$603,$E19),"")</f>
        <v/>
      </c>
      <c r="H19" s="12">
        <f>IF(ISNUMBER($E19),INDEX(Itens!$R$4:$R$603,$E19),"")</f>
        <v/>
      </c>
      <c r="I19" s="4">
        <f>IF(ISNUMBER($E19),INDEX(Itens!$S$4:$S$603,$E19),"")</f>
        <v/>
      </c>
      <c r="J19" s="12">
        <f>IF(ISNUMBER($E19),INDEX(Itens!$U$4:$U$603,$E19),"")</f>
        <v/>
      </c>
      <c r="K19" s="13">
        <f>IF(ISNUMBER($E19),INDEX(Itens!$V$4:$V$603,$E19),"")</f>
        <v/>
      </c>
      <c r="L19" s="12">
        <f>IF(ISNUMBER($E19),INDEX(Itens!$O$4:$O$603,$E19),"")</f>
        <v/>
      </c>
      <c r="M19" s="4">
        <f>IF(ISNUMBER($E19),INDEX(Itens!$P$4:$P$603,$E19),"")</f>
        <v/>
      </c>
      <c r="N19" s="12">
        <f>IF(ISNUMBER($E19),INDEX(Itens!$W$4:$W$603,$E19),"")</f>
        <v/>
      </c>
      <c r="O19" s="14">
        <f>IF(ISNUMBER($E19),INDEX(Itens!$X$4:$X$603,$E19),"")</f>
        <v/>
      </c>
      <c r="P19" s="15">
        <f>IF(ISNUMBER($E19),INDEX(Itens!$Y$4:$Y$603,$E19),"")</f>
        <v/>
      </c>
      <c r="Q19" s="14">
        <f>IF(AND(ISNUMBER(O19),ISNUMBER(D19)),O19*D19,0)</f>
        <v/>
      </c>
      <c r="R19" s="12">
        <f>IF(AND(ISNUMBER(K19),ISNUMBER(D19)),K19*D19,0)</f>
        <v/>
      </c>
      <c r="S19" s="16">
        <f>IF(AND(ISNUMBER(F19),ISNUMBER(D19)),D19*F19*(1-RetCraft),0)</f>
        <v/>
      </c>
      <c r="T19" s="4">
        <f>IF(AND(ISNUMBER(F19),ISNUMBER(D19)),D19*F19,0)</f>
        <v/>
      </c>
      <c r="U19" s="4">
        <f>IF(AND(ISNUMBER(H19),ISNUMBER(D19)),IF(H19&gt;0,D19,0),0)</f>
        <v/>
      </c>
    </row>
    <row r="20">
      <c r="A20" s="11" t="n"/>
      <c r="B20" s="11" t="n"/>
      <c r="C20" s="11" t="n"/>
      <c r="D20" s="6" t="n"/>
      <c r="E20" s="4">
        <f>IF(OR(A20="",B20="",C20=""),"",IFERROR(MATCH(A20&amp;"|"&amp;B20&amp;"|"&amp;C20,Itens!$A$4:$A$603,0),"?"))</f>
        <v/>
      </c>
      <c r="F20" s="4">
        <f>IF(ISNUMBER($E20),INDEX(Itens!$G$4:$G$603,$E20),"")</f>
        <v/>
      </c>
      <c r="G20" s="12">
        <f>IF(ISNUMBER($E20),INDEX(Itens!$Q$4:$Q$603,$E20),"")</f>
        <v/>
      </c>
      <c r="H20" s="12">
        <f>IF(ISNUMBER($E20),INDEX(Itens!$R$4:$R$603,$E20),"")</f>
        <v/>
      </c>
      <c r="I20" s="4">
        <f>IF(ISNUMBER($E20),INDEX(Itens!$S$4:$S$603,$E20),"")</f>
        <v/>
      </c>
      <c r="J20" s="12">
        <f>IF(ISNUMBER($E20),INDEX(Itens!$U$4:$U$603,$E20),"")</f>
        <v/>
      </c>
      <c r="K20" s="13">
        <f>IF(ISNUMBER($E20),INDEX(Itens!$V$4:$V$603,$E20),"")</f>
        <v/>
      </c>
      <c r="L20" s="12">
        <f>IF(ISNUMBER($E20),INDEX(Itens!$O$4:$O$603,$E20),"")</f>
        <v/>
      </c>
      <c r="M20" s="4">
        <f>IF(ISNUMBER($E20),INDEX(Itens!$P$4:$P$603,$E20),"")</f>
        <v/>
      </c>
      <c r="N20" s="12">
        <f>IF(ISNUMBER($E20),INDEX(Itens!$W$4:$W$603,$E20),"")</f>
        <v/>
      </c>
      <c r="O20" s="14">
        <f>IF(ISNUMBER($E20),INDEX(Itens!$X$4:$X$603,$E20),"")</f>
        <v/>
      </c>
      <c r="P20" s="15">
        <f>IF(ISNUMBER($E20),INDEX(Itens!$Y$4:$Y$603,$E20),"")</f>
        <v/>
      </c>
      <c r="Q20" s="14">
        <f>IF(AND(ISNUMBER(O20),ISNUMBER(D20)),O20*D20,0)</f>
        <v/>
      </c>
      <c r="R20" s="12">
        <f>IF(AND(ISNUMBER(K20),ISNUMBER(D20)),K20*D20,0)</f>
        <v/>
      </c>
      <c r="S20" s="16">
        <f>IF(AND(ISNUMBER(F20),ISNUMBER(D20)),D20*F20*(1-RetCraft),0)</f>
        <v/>
      </c>
      <c r="T20" s="4">
        <f>IF(AND(ISNUMBER(F20),ISNUMBER(D20)),D20*F20,0)</f>
        <v/>
      </c>
      <c r="U20" s="4">
        <f>IF(AND(ISNUMBER(H20),ISNUMBER(D20)),IF(H20&gt;0,D20,0),0)</f>
        <v/>
      </c>
    </row>
    <row r="21">
      <c r="A21" s="11" t="n"/>
      <c r="B21" s="11" t="n"/>
      <c r="C21" s="11" t="n"/>
      <c r="D21" s="6" t="n"/>
      <c r="E21" s="4">
        <f>IF(OR(A21="",B21="",C21=""),"",IFERROR(MATCH(A21&amp;"|"&amp;B21&amp;"|"&amp;C21,Itens!$A$4:$A$603,0),"?"))</f>
        <v/>
      </c>
      <c r="F21" s="4">
        <f>IF(ISNUMBER($E21),INDEX(Itens!$G$4:$G$603,$E21),"")</f>
        <v/>
      </c>
      <c r="G21" s="12">
        <f>IF(ISNUMBER($E21),INDEX(Itens!$Q$4:$Q$603,$E21),"")</f>
        <v/>
      </c>
      <c r="H21" s="12">
        <f>IF(ISNUMBER($E21),INDEX(Itens!$R$4:$R$603,$E21),"")</f>
        <v/>
      </c>
      <c r="I21" s="4">
        <f>IF(ISNUMBER($E21),INDEX(Itens!$S$4:$S$603,$E21),"")</f>
        <v/>
      </c>
      <c r="J21" s="12">
        <f>IF(ISNUMBER($E21),INDEX(Itens!$U$4:$U$603,$E21),"")</f>
        <v/>
      </c>
      <c r="K21" s="13">
        <f>IF(ISNUMBER($E21),INDEX(Itens!$V$4:$V$603,$E21),"")</f>
        <v/>
      </c>
      <c r="L21" s="12">
        <f>IF(ISNUMBER($E21),INDEX(Itens!$O$4:$O$603,$E21),"")</f>
        <v/>
      </c>
      <c r="M21" s="4">
        <f>IF(ISNUMBER($E21),INDEX(Itens!$P$4:$P$603,$E21),"")</f>
        <v/>
      </c>
      <c r="N21" s="12">
        <f>IF(ISNUMBER($E21),INDEX(Itens!$W$4:$W$603,$E21),"")</f>
        <v/>
      </c>
      <c r="O21" s="14">
        <f>IF(ISNUMBER($E21),INDEX(Itens!$X$4:$X$603,$E21),"")</f>
        <v/>
      </c>
      <c r="P21" s="15">
        <f>IF(ISNUMBER($E21),INDEX(Itens!$Y$4:$Y$603,$E21),"")</f>
        <v/>
      </c>
      <c r="Q21" s="14">
        <f>IF(AND(ISNUMBER(O21),ISNUMBER(D21)),O21*D21,0)</f>
        <v/>
      </c>
      <c r="R21" s="12">
        <f>IF(AND(ISNUMBER(K21),ISNUMBER(D21)),K21*D21,0)</f>
        <v/>
      </c>
      <c r="S21" s="16">
        <f>IF(AND(ISNUMBER(F21),ISNUMBER(D21)),D21*F21*(1-RetCraft),0)</f>
        <v/>
      </c>
      <c r="T21" s="4">
        <f>IF(AND(ISNUMBER(F21),ISNUMBER(D21)),D21*F21,0)</f>
        <v/>
      </c>
      <c r="U21" s="4">
        <f>IF(AND(ISNUMBER(H21),ISNUMBER(D21)),IF(H21&gt;0,D21,0),0)</f>
        <v/>
      </c>
    </row>
    <row r="22">
      <c r="A22" s="11" t="n"/>
      <c r="B22" s="11" t="n"/>
      <c r="C22" s="11" t="n"/>
      <c r="D22" s="6" t="n"/>
      <c r="E22" s="4">
        <f>IF(OR(A22="",B22="",C22=""),"",IFERROR(MATCH(A22&amp;"|"&amp;B22&amp;"|"&amp;C22,Itens!$A$4:$A$603,0),"?"))</f>
        <v/>
      </c>
      <c r="F22" s="4">
        <f>IF(ISNUMBER($E22),INDEX(Itens!$G$4:$G$603,$E22),"")</f>
        <v/>
      </c>
      <c r="G22" s="12">
        <f>IF(ISNUMBER($E22),INDEX(Itens!$Q$4:$Q$603,$E22),"")</f>
        <v/>
      </c>
      <c r="H22" s="12">
        <f>IF(ISNUMBER($E22),INDEX(Itens!$R$4:$R$603,$E22),"")</f>
        <v/>
      </c>
      <c r="I22" s="4">
        <f>IF(ISNUMBER($E22),INDEX(Itens!$S$4:$S$603,$E22),"")</f>
        <v/>
      </c>
      <c r="J22" s="12">
        <f>IF(ISNUMBER($E22),INDEX(Itens!$U$4:$U$603,$E22),"")</f>
        <v/>
      </c>
      <c r="K22" s="13">
        <f>IF(ISNUMBER($E22),INDEX(Itens!$V$4:$V$603,$E22),"")</f>
        <v/>
      </c>
      <c r="L22" s="12">
        <f>IF(ISNUMBER($E22),INDEX(Itens!$O$4:$O$603,$E22),"")</f>
        <v/>
      </c>
      <c r="M22" s="4">
        <f>IF(ISNUMBER($E22),INDEX(Itens!$P$4:$P$603,$E22),"")</f>
        <v/>
      </c>
      <c r="N22" s="12">
        <f>IF(ISNUMBER($E22),INDEX(Itens!$W$4:$W$603,$E22),"")</f>
        <v/>
      </c>
      <c r="O22" s="14">
        <f>IF(ISNUMBER($E22),INDEX(Itens!$X$4:$X$603,$E22),"")</f>
        <v/>
      </c>
      <c r="P22" s="15">
        <f>IF(ISNUMBER($E22),INDEX(Itens!$Y$4:$Y$603,$E22),"")</f>
        <v/>
      </c>
      <c r="Q22" s="14">
        <f>IF(AND(ISNUMBER(O22),ISNUMBER(D22)),O22*D22,0)</f>
        <v/>
      </c>
      <c r="R22" s="12">
        <f>IF(AND(ISNUMBER(K22),ISNUMBER(D22)),K22*D22,0)</f>
        <v/>
      </c>
      <c r="S22" s="16">
        <f>IF(AND(ISNUMBER(F22),ISNUMBER(D22)),D22*F22*(1-RetCraft),0)</f>
        <v/>
      </c>
      <c r="T22" s="4">
        <f>IF(AND(ISNUMBER(F22),ISNUMBER(D22)),D22*F22,0)</f>
        <v/>
      </c>
      <c r="U22" s="4">
        <f>IF(AND(ISNUMBER(H22),ISNUMBER(D22)),IF(H22&gt;0,D22,0),0)</f>
        <v/>
      </c>
    </row>
    <row r="23">
      <c r="A23" s="11" t="n"/>
      <c r="B23" s="11" t="n"/>
      <c r="C23" s="11" t="n"/>
      <c r="D23" s="6" t="n"/>
      <c r="E23" s="4">
        <f>IF(OR(A23="",B23="",C23=""),"",IFERROR(MATCH(A23&amp;"|"&amp;B23&amp;"|"&amp;C23,Itens!$A$4:$A$603,0),"?"))</f>
        <v/>
      </c>
      <c r="F23" s="4">
        <f>IF(ISNUMBER($E23),INDEX(Itens!$G$4:$G$603,$E23),"")</f>
        <v/>
      </c>
      <c r="G23" s="12">
        <f>IF(ISNUMBER($E23),INDEX(Itens!$Q$4:$Q$603,$E23),"")</f>
        <v/>
      </c>
      <c r="H23" s="12">
        <f>IF(ISNUMBER($E23),INDEX(Itens!$R$4:$R$603,$E23),"")</f>
        <v/>
      </c>
      <c r="I23" s="4">
        <f>IF(ISNUMBER($E23),INDEX(Itens!$S$4:$S$603,$E23),"")</f>
        <v/>
      </c>
      <c r="J23" s="12">
        <f>IF(ISNUMBER($E23),INDEX(Itens!$U$4:$U$603,$E23),"")</f>
        <v/>
      </c>
      <c r="K23" s="13">
        <f>IF(ISNUMBER($E23),INDEX(Itens!$V$4:$V$603,$E23),"")</f>
        <v/>
      </c>
      <c r="L23" s="12">
        <f>IF(ISNUMBER($E23),INDEX(Itens!$O$4:$O$603,$E23),"")</f>
        <v/>
      </c>
      <c r="M23" s="4">
        <f>IF(ISNUMBER($E23),INDEX(Itens!$P$4:$P$603,$E23),"")</f>
        <v/>
      </c>
      <c r="N23" s="12">
        <f>IF(ISNUMBER($E23),INDEX(Itens!$W$4:$W$603,$E23),"")</f>
        <v/>
      </c>
      <c r="O23" s="14">
        <f>IF(ISNUMBER($E23),INDEX(Itens!$X$4:$X$603,$E23),"")</f>
        <v/>
      </c>
      <c r="P23" s="15">
        <f>IF(ISNUMBER($E23),INDEX(Itens!$Y$4:$Y$603,$E23),"")</f>
        <v/>
      </c>
      <c r="Q23" s="14">
        <f>IF(AND(ISNUMBER(O23),ISNUMBER(D23)),O23*D23,0)</f>
        <v/>
      </c>
      <c r="R23" s="12">
        <f>IF(AND(ISNUMBER(K23),ISNUMBER(D23)),K23*D23,0)</f>
        <v/>
      </c>
      <c r="S23" s="16">
        <f>IF(AND(ISNUMBER(F23),ISNUMBER(D23)),D23*F23*(1-RetCraft),0)</f>
        <v/>
      </c>
      <c r="T23" s="4">
        <f>IF(AND(ISNUMBER(F23),ISNUMBER(D23)),D23*F23,0)</f>
        <v/>
      </c>
      <c r="U23" s="4">
        <f>IF(AND(ISNUMBER(H23),ISNUMBER(D23)),IF(H23&gt;0,D23,0),0)</f>
        <v/>
      </c>
    </row>
    <row r="24">
      <c r="A24" s="11" t="n"/>
      <c r="B24" s="11" t="n"/>
      <c r="C24" s="11" t="n"/>
      <c r="D24" s="6" t="n"/>
      <c r="E24" s="4">
        <f>IF(OR(A24="",B24="",C24=""),"",IFERROR(MATCH(A24&amp;"|"&amp;B24&amp;"|"&amp;C24,Itens!$A$4:$A$603,0),"?"))</f>
        <v/>
      </c>
      <c r="F24" s="4">
        <f>IF(ISNUMBER($E24),INDEX(Itens!$G$4:$G$603,$E24),"")</f>
        <v/>
      </c>
      <c r="G24" s="12">
        <f>IF(ISNUMBER($E24),INDEX(Itens!$Q$4:$Q$603,$E24),"")</f>
        <v/>
      </c>
      <c r="H24" s="12">
        <f>IF(ISNUMBER($E24),INDEX(Itens!$R$4:$R$603,$E24),"")</f>
        <v/>
      </c>
      <c r="I24" s="4">
        <f>IF(ISNUMBER($E24),INDEX(Itens!$S$4:$S$603,$E24),"")</f>
        <v/>
      </c>
      <c r="J24" s="12">
        <f>IF(ISNUMBER($E24),INDEX(Itens!$U$4:$U$603,$E24),"")</f>
        <v/>
      </c>
      <c r="K24" s="13">
        <f>IF(ISNUMBER($E24),INDEX(Itens!$V$4:$V$603,$E24),"")</f>
        <v/>
      </c>
      <c r="L24" s="12">
        <f>IF(ISNUMBER($E24),INDEX(Itens!$O$4:$O$603,$E24),"")</f>
        <v/>
      </c>
      <c r="M24" s="4">
        <f>IF(ISNUMBER($E24),INDEX(Itens!$P$4:$P$603,$E24),"")</f>
        <v/>
      </c>
      <c r="N24" s="12">
        <f>IF(ISNUMBER($E24),INDEX(Itens!$W$4:$W$603,$E24),"")</f>
        <v/>
      </c>
      <c r="O24" s="14">
        <f>IF(ISNUMBER($E24),INDEX(Itens!$X$4:$X$603,$E24),"")</f>
        <v/>
      </c>
      <c r="P24" s="15">
        <f>IF(ISNUMBER($E24),INDEX(Itens!$Y$4:$Y$603,$E24),"")</f>
        <v/>
      </c>
      <c r="Q24" s="14">
        <f>IF(AND(ISNUMBER(O24),ISNUMBER(D24)),O24*D24,0)</f>
        <v/>
      </c>
      <c r="R24" s="12">
        <f>IF(AND(ISNUMBER(K24),ISNUMBER(D24)),K24*D24,0)</f>
        <v/>
      </c>
      <c r="S24" s="16">
        <f>IF(AND(ISNUMBER(F24),ISNUMBER(D24)),D24*F24*(1-RetCraft),0)</f>
        <v/>
      </c>
      <c r="T24" s="4">
        <f>IF(AND(ISNUMBER(F24),ISNUMBER(D24)),D24*F24,0)</f>
        <v/>
      </c>
      <c r="U24" s="4">
        <f>IF(AND(ISNUMBER(H24),ISNUMBER(D24)),IF(H24&gt;0,D24,0),0)</f>
        <v/>
      </c>
    </row>
    <row r="25">
      <c r="A25" s="11" t="n"/>
      <c r="B25" s="11" t="n"/>
      <c r="C25" s="11" t="n"/>
      <c r="D25" s="6" t="n"/>
      <c r="E25" s="4">
        <f>IF(OR(A25="",B25="",C25=""),"",IFERROR(MATCH(A25&amp;"|"&amp;B25&amp;"|"&amp;C25,Itens!$A$4:$A$603,0),"?"))</f>
        <v/>
      </c>
      <c r="F25" s="4">
        <f>IF(ISNUMBER($E25),INDEX(Itens!$G$4:$G$603,$E25),"")</f>
        <v/>
      </c>
      <c r="G25" s="12">
        <f>IF(ISNUMBER($E25),INDEX(Itens!$Q$4:$Q$603,$E25),"")</f>
        <v/>
      </c>
      <c r="H25" s="12">
        <f>IF(ISNUMBER($E25),INDEX(Itens!$R$4:$R$603,$E25),"")</f>
        <v/>
      </c>
      <c r="I25" s="4">
        <f>IF(ISNUMBER($E25),INDEX(Itens!$S$4:$S$603,$E25),"")</f>
        <v/>
      </c>
      <c r="J25" s="12">
        <f>IF(ISNUMBER($E25),INDEX(Itens!$U$4:$U$603,$E25),"")</f>
        <v/>
      </c>
      <c r="K25" s="13">
        <f>IF(ISNUMBER($E25),INDEX(Itens!$V$4:$V$603,$E25),"")</f>
        <v/>
      </c>
      <c r="L25" s="12">
        <f>IF(ISNUMBER($E25),INDEX(Itens!$O$4:$O$603,$E25),"")</f>
        <v/>
      </c>
      <c r="M25" s="4">
        <f>IF(ISNUMBER($E25),INDEX(Itens!$P$4:$P$603,$E25),"")</f>
        <v/>
      </c>
      <c r="N25" s="12">
        <f>IF(ISNUMBER($E25),INDEX(Itens!$W$4:$W$603,$E25),"")</f>
        <v/>
      </c>
      <c r="O25" s="14">
        <f>IF(ISNUMBER($E25),INDEX(Itens!$X$4:$X$603,$E25),"")</f>
        <v/>
      </c>
      <c r="P25" s="15">
        <f>IF(ISNUMBER($E25),INDEX(Itens!$Y$4:$Y$603,$E25),"")</f>
        <v/>
      </c>
      <c r="Q25" s="14">
        <f>IF(AND(ISNUMBER(O25),ISNUMBER(D25)),O25*D25,0)</f>
        <v/>
      </c>
      <c r="R25" s="12">
        <f>IF(AND(ISNUMBER(K25),ISNUMBER(D25)),K25*D25,0)</f>
        <v/>
      </c>
      <c r="S25" s="16">
        <f>IF(AND(ISNUMBER(F25),ISNUMBER(D25)),D25*F25*(1-RetCraft),0)</f>
        <v/>
      </c>
      <c r="T25" s="4">
        <f>IF(AND(ISNUMBER(F25),ISNUMBER(D25)),D25*F25,0)</f>
        <v/>
      </c>
      <c r="U25" s="4">
        <f>IF(AND(ISNUMBER(H25),ISNUMBER(D25)),IF(H25&gt;0,D25,0),0)</f>
        <v/>
      </c>
    </row>
    <row r="26">
      <c r="A26" s="11" t="n"/>
      <c r="B26" s="11" t="n"/>
      <c r="C26" s="11" t="n"/>
      <c r="D26" s="6" t="n"/>
      <c r="E26" s="4">
        <f>IF(OR(A26="",B26="",C26=""),"",IFERROR(MATCH(A26&amp;"|"&amp;B26&amp;"|"&amp;C26,Itens!$A$4:$A$603,0),"?"))</f>
        <v/>
      </c>
      <c r="F26" s="4">
        <f>IF(ISNUMBER($E26),INDEX(Itens!$G$4:$G$603,$E26),"")</f>
        <v/>
      </c>
      <c r="G26" s="12">
        <f>IF(ISNUMBER($E26),INDEX(Itens!$Q$4:$Q$603,$E26),"")</f>
        <v/>
      </c>
      <c r="H26" s="12">
        <f>IF(ISNUMBER($E26),INDEX(Itens!$R$4:$R$603,$E26),"")</f>
        <v/>
      </c>
      <c r="I26" s="4">
        <f>IF(ISNUMBER($E26),INDEX(Itens!$S$4:$S$603,$E26),"")</f>
        <v/>
      </c>
      <c r="J26" s="12">
        <f>IF(ISNUMBER($E26),INDEX(Itens!$U$4:$U$603,$E26),"")</f>
        <v/>
      </c>
      <c r="K26" s="13">
        <f>IF(ISNUMBER($E26),INDEX(Itens!$V$4:$V$603,$E26),"")</f>
        <v/>
      </c>
      <c r="L26" s="12">
        <f>IF(ISNUMBER($E26),INDEX(Itens!$O$4:$O$603,$E26),"")</f>
        <v/>
      </c>
      <c r="M26" s="4">
        <f>IF(ISNUMBER($E26),INDEX(Itens!$P$4:$P$603,$E26),"")</f>
        <v/>
      </c>
      <c r="N26" s="12">
        <f>IF(ISNUMBER($E26),INDEX(Itens!$W$4:$W$603,$E26),"")</f>
        <v/>
      </c>
      <c r="O26" s="14">
        <f>IF(ISNUMBER($E26),INDEX(Itens!$X$4:$X$603,$E26),"")</f>
        <v/>
      </c>
      <c r="P26" s="15">
        <f>IF(ISNUMBER($E26),INDEX(Itens!$Y$4:$Y$603,$E26),"")</f>
        <v/>
      </c>
      <c r="Q26" s="14">
        <f>IF(AND(ISNUMBER(O26),ISNUMBER(D26)),O26*D26,0)</f>
        <v/>
      </c>
      <c r="R26" s="12">
        <f>IF(AND(ISNUMBER(K26),ISNUMBER(D26)),K26*D26,0)</f>
        <v/>
      </c>
      <c r="S26" s="16">
        <f>IF(AND(ISNUMBER(F26),ISNUMBER(D26)),D26*F26*(1-RetCraft),0)</f>
        <v/>
      </c>
      <c r="T26" s="4">
        <f>IF(AND(ISNUMBER(F26),ISNUMBER(D26)),D26*F26,0)</f>
        <v/>
      </c>
      <c r="U26" s="4">
        <f>IF(AND(ISNUMBER(H26),ISNUMBER(D26)),IF(H26&gt;0,D26,0),0)</f>
        <v/>
      </c>
    </row>
    <row r="27">
      <c r="A27" s="11" t="n"/>
      <c r="B27" s="11" t="n"/>
      <c r="C27" s="11" t="n"/>
      <c r="D27" s="6" t="n"/>
      <c r="E27" s="4">
        <f>IF(OR(A27="",B27="",C27=""),"",IFERROR(MATCH(A27&amp;"|"&amp;B27&amp;"|"&amp;C27,Itens!$A$4:$A$603,0),"?"))</f>
        <v/>
      </c>
      <c r="F27" s="4">
        <f>IF(ISNUMBER($E27),INDEX(Itens!$G$4:$G$603,$E27),"")</f>
        <v/>
      </c>
      <c r="G27" s="12">
        <f>IF(ISNUMBER($E27),INDEX(Itens!$Q$4:$Q$603,$E27),"")</f>
        <v/>
      </c>
      <c r="H27" s="12">
        <f>IF(ISNUMBER($E27),INDEX(Itens!$R$4:$R$603,$E27),"")</f>
        <v/>
      </c>
      <c r="I27" s="4">
        <f>IF(ISNUMBER($E27),INDEX(Itens!$S$4:$S$603,$E27),"")</f>
        <v/>
      </c>
      <c r="J27" s="12">
        <f>IF(ISNUMBER($E27),INDEX(Itens!$U$4:$U$603,$E27),"")</f>
        <v/>
      </c>
      <c r="K27" s="13">
        <f>IF(ISNUMBER($E27),INDEX(Itens!$V$4:$V$603,$E27),"")</f>
        <v/>
      </c>
      <c r="L27" s="12">
        <f>IF(ISNUMBER($E27),INDEX(Itens!$O$4:$O$603,$E27),"")</f>
        <v/>
      </c>
      <c r="M27" s="4">
        <f>IF(ISNUMBER($E27),INDEX(Itens!$P$4:$P$603,$E27),"")</f>
        <v/>
      </c>
      <c r="N27" s="12">
        <f>IF(ISNUMBER($E27),INDEX(Itens!$W$4:$W$603,$E27),"")</f>
        <v/>
      </c>
      <c r="O27" s="14">
        <f>IF(ISNUMBER($E27),INDEX(Itens!$X$4:$X$603,$E27),"")</f>
        <v/>
      </c>
      <c r="P27" s="15">
        <f>IF(ISNUMBER($E27),INDEX(Itens!$Y$4:$Y$603,$E27),"")</f>
        <v/>
      </c>
      <c r="Q27" s="14">
        <f>IF(AND(ISNUMBER(O27),ISNUMBER(D27)),O27*D27,0)</f>
        <v/>
      </c>
      <c r="R27" s="12">
        <f>IF(AND(ISNUMBER(K27),ISNUMBER(D27)),K27*D27,0)</f>
        <v/>
      </c>
      <c r="S27" s="16">
        <f>IF(AND(ISNUMBER(F27),ISNUMBER(D27)),D27*F27*(1-RetCraft),0)</f>
        <v/>
      </c>
      <c r="T27" s="4">
        <f>IF(AND(ISNUMBER(F27),ISNUMBER(D27)),D27*F27,0)</f>
        <v/>
      </c>
      <c r="U27" s="4">
        <f>IF(AND(ISNUMBER(H27),ISNUMBER(D27)),IF(H27&gt;0,D27,0),0)</f>
        <v/>
      </c>
    </row>
    <row r="28">
      <c r="A28" s="11" t="n"/>
      <c r="B28" s="11" t="n"/>
      <c r="C28" s="11" t="n"/>
      <c r="D28" s="6" t="n"/>
      <c r="E28" s="4">
        <f>IF(OR(A28="",B28="",C28=""),"",IFERROR(MATCH(A28&amp;"|"&amp;B28&amp;"|"&amp;C28,Itens!$A$4:$A$603,0),"?"))</f>
        <v/>
      </c>
      <c r="F28" s="4">
        <f>IF(ISNUMBER($E28),INDEX(Itens!$G$4:$G$603,$E28),"")</f>
        <v/>
      </c>
      <c r="G28" s="12">
        <f>IF(ISNUMBER($E28),INDEX(Itens!$Q$4:$Q$603,$E28),"")</f>
        <v/>
      </c>
      <c r="H28" s="12">
        <f>IF(ISNUMBER($E28),INDEX(Itens!$R$4:$R$603,$E28),"")</f>
        <v/>
      </c>
      <c r="I28" s="4">
        <f>IF(ISNUMBER($E28),INDEX(Itens!$S$4:$S$603,$E28),"")</f>
        <v/>
      </c>
      <c r="J28" s="12">
        <f>IF(ISNUMBER($E28),INDEX(Itens!$U$4:$U$603,$E28),"")</f>
        <v/>
      </c>
      <c r="K28" s="13">
        <f>IF(ISNUMBER($E28),INDEX(Itens!$V$4:$V$603,$E28),"")</f>
        <v/>
      </c>
      <c r="L28" s="12">
        <f>IF(ISNUMBER($E28),INDEX(Itens!$O$4:$O$603,$E28),"")</f>
        <v/>
      </c>
      <c r="M28" s="4">
        <f>IF(ISNUMBER($E28),INDEX(Itens!$P$4:$P$603,$E28),"")</f>
        <v/>
      </c>
      <c r="N28" s="12">
        <f>IF(ISNUMBER($E28),INDEX(Itens!$W$4:$W$603,$E28),"")</f>
        <v/>
      </c>
      <c r="O28" s="14">
        <f>IF(ISNUMBER($E28),INDEX(Itens!$X$4:$X$603,$E28),"")</f>
        <v/>
      </c>
      <c r="P28" s="15">
        <f>IF(ISNUMBER($E28),INDEX(Itens!$Y$4:$Y$603,$E28),"")</f>
        <v/>
      </c>
      <c r="Q28" s="14">
        <f>IF(AND(ISNUMBER(O28),ISNUMBER(D28)),O28*D28,0)</f>
        <v/>
      </c>
      <c r="R28" s="12">
        <f>IF(AND(ISNUMBER(K28),ISNUMBER(D28)),K28*D28,0)</f>
        <v/>
      </c>
      <c r="S28" s="16">
        <f>IF(AND(ISNUMBER(F28),ISNUMBER(D28)),D28*F28*(1-RetCraft),0)</f>
        <v/>
      </c>
      <c r="T28" s="4">
        <f>IF(AND(ISNUMBER(F28),ISNUMBER(D28)),D28*F28,0)</f>
        <v/>
      </c>
      <c r="U28" s="4">
        <f>IF(AND(ISNUMBER(H28),ISNUMBER(D28)),IF(H28&gt;0,D28,0),0)</f>
        <v/>
      </c>
    </row>
    <row r="29">
      <c r="A29" s="11" t="n"/>
      <c r="B29" s="11" t="n"/>
      <c r="C29" s="11" t="n"/>
      <c r="D29" s="6" t="n"/>
      <c r="E29" s="4">
        <f>IF(OR(A29="",B29="",C29=""),"",IFERROR(MATCH(A29&amp;"|"&amp;B29&amp;"|"&amp;C29,Itens!$A$4:$A$603,0),"?"))</f>
        <v/>
      </c>
      <c r="F29" s="4">
        <f>IF(ISNUMBER($E29),INDEX(Itens!$G$4:$G$603,$E29),"")</f>
        <v/>
      </c>
      <c r="G29" s="12">
        <f>IF(ISNUMBER($E29),INDEX(Itens!$Q$4:$Q$603,$E29),"")</f>
        <v/>
      </c>
      <c r="H29" s="12">
        <f>IF(ISNUMBER($E29),INDEX(Itens!$R$4:$R$603,$E29),"")</f>
        <v/>
      </c>
      <c r="I29" s="4">
        <f>IF(ISNUMBER($E29),INDEX(Itens!$S$4:$S$603,$E29),"")</f>
        <v/>
      </c>
      <c r="J29" s="12">
        <f>IF(ISNUMBER($E29),INDEX(Itens!$U$4:$U$603,$E29),"")</f>
        <v/>
      </c>
      <c r="K29" s="13">
        <f>IF(ISNUMBER($E29),INDEX(Itens!$V$4:$V$603,$E29),"")</f>
        <v/>
      </c>
      <c r="L29" s="12">
        <f>IF(ISNUMBER($E29),INDEX(Itens!$O$4:$O$603,$E29),"")</f>
        <v/>
      </c>
      <c r="M29" s="4">
        <f>IF(ISNUMBER($E29),INDEX(Itens!$P$4:$P$603,$E29),"")</f>
        <v/>
      </c>
      <c r="N29" s="12">
        <f>IF(ISNUMBER($E29),INDEX(Itens!$W$4:$W$603,$E29),"")</f>
        <v/>
      </c>
      <c r="O29" s="14">
        <f>IF(ISNUMBER($E29),INDEX(Itens!$X$4:$X$603,$E29),"")</f>
        <v/>
      </c>
      <c r="P29" s="15">
        <f>IF(ISNUMBER($E29),INDEX(Itens!$Y$4:$Y$603,$E29),"")</f>
        <v/>
      </c>
      <c r="Q29" s="14">
        <f>IF(AND(ISNUMBER(O29),ISNUMBER(D29)),O29*D29,0)</f>
        <v/>
      </c>
      <c r="R29" s="12">
        <f>IF(AND(ISNUMBER(K29),ISNUMBER(D29)),K29*D29,0)</f>
        <v/>
      </c>
      <c r="S29" s="16">
        <f>IF(AND(ISNUMBER(F29),ISNUMBER(D29)),D29*F29*(1-RetCraft),0)</f>
        <v/>
      </c>
      <c r="T29" s="4">
        <f>IF(AND(ISNUMBER(F29),ISNUMBER(D29)),D29*F29,0)</f>
        <v/>
      </c>
      <c r="U29" s="4">
        <f>IF(AND(ISNUMBER(H29),ISNUMBER(D29)),IF(H29&gt;0,D29,0),0)</f>
        <v/>
      </c>
    </row>
    <row r="30">
      <c r="A30" s="11" t="n"/>
      <c r="B30" s="11" t="n"/>
      <c r="C30" s="11" t="n"/>
      <c r="D30" s="6" t="n"/>
      <c r="E30" s="4">
        <f>IF(OR(A30="",B30="",C30=""),"",IFERROR(MATCH(A30&amp;"|"&amp;B30&amp;"|"&amp;C30,Itens!$A$4:$A$603,0),"?"))</f>
        <v/>
      </c>
      <c r="F30" s="4">
        <f>IF(ISNUMBER($E30),INDEX(Itens!$G$4:$G$603,$E30),"")</f>
        <v/>
      </c>
      <c r="G30" s="12">
        <f>IF(ISNUMBER($E30),INDEX(Itens!$Q$4:$Q$603,$E30),"")</f>
        <v/>
      </c>
      <c r="H30" s="12">
        <f>IF(ISNUMBER($E30),INDEX(Itens!$R$4:$R$603,$E30),"")</f>
        <v/>
      </c>
      <c r="I30" s="4">
        <f>IF(ISNUMBER($E30),INDEX(Itens!$S$4:$S$603,$E30),"")</f>
        <v/>
      </c>
      <c r="J30" s="12">
        <f>IF(ISNUMBER($E30),INDEX(Itens!$U$4:$U$603,$E30),"")</f>
        <v/>
      </c>
      <c r="K30" s="13">
        <f>IF(ISNUMBER($E30),INDEX(Itens!$V$4:$V$603,$E30),"")</f>
        <v/>
      </c>
      <c r="L30" s="12">
        <f>IF(ISNUMBER($E30),INDEX(Itens!$O$4:$O$603,$E30),"")</f>
        <v/>
      </c>
      <c r="M30" s="4">
        <f>IF(ISNUMBER($E30),INDEX(Itens!$P$4:$P$603,$E30),"")</f>
        <v/>
      </c>
      <c r="N30" s="12">
        <f>IF(ISNUMBER($E30),INDEX(Itens!$W$4:$W$603,$E30),"")</f>
        <v/>
      </c>
      <c r="O30" s="14">
        <f>IF(ISNUMBER($E30),INDEX(Itens!$X$4:$X$603,$E30),"")</f>
        <v/>
      </c>
      <c r="P30" s="15">
        <f>IF(ISNUMBER($E30),INDEX(Itens!$Y$4:$Y$603,$E30),"")</f>
        <v/>
      </c>
      <c r="Q30" s="14">
        <f>IF(AND(ISNUMBER(O30),ISNUMBER(D30)),O30*D30,0)</f>
        <v/>
      </c>
      <c r="R30" s="12">
        <f>IF(AND(ISNUMBER(K30),ISNUMBER(D30)),K30*D30,0)</f>
        <v/>
      </c>
      <c r="S30" s="16">
        <f>IF(AND(ISNUMBER(F30),ISNUMBER(D30)),D30*F30*(1-RetCraft),0)</f>
        <v/>
      </c>
      <c r="T30" s="4">
        <f>IF(AND(ISNUMBER(F30),ISNUMBER(D30)),D30*F30,0)</f>
        <v/>
      </c>
      <c r="U30" s="4">
        <f>IF(AND(ISNUMBER(H30),ISNUMBER(D30)),IF(H30&gt;0,D30,0),0)</f>
        <v/>
      </c>
    </row>
    <row r="31">
      <c r="A31" s="11" t="n"/>
      <c r="B31" s="11" t="n"/>
      <c r="C31" s="11" t="n"/>
      <c r="D31" s="6" t="n"/>
      <c r="E31" s="4">
        <f>IF(OR(A31="",B31="",C31=""),"",IFERROR(MATCH(A31&amp;"|"&amp;B31&amp;"|"&amp;C31,Itens!$A$4:$A$603,0),"?"))</f>
        <v/>
      </c>
      <c r="F31" s="4">
        <f>IF(ISNUMBER($E31),INDEX(Itens!$G$4:$G$603,$E31),"")</f>
        <v/>
      </c>
      <c r="G31" s="12">
        <f>IF(ISNUMBER($E31),INDEX(Itens!$Q$4:$Q$603,$E31),"")</f>
        <v/>
      </c>
      <c r="H31" s="12">
        <f>IF(ISNUMBER($E31),INDEX(Itens!$R$4:$R$603,$E31),"")</f>
        <v/>
      </c>
      <c r="I31" s="4">
        <f>IF(ISNUMBER($E31),INDEX(Itens!$S$4:$S$603,$E31),"")</f>
        <v/>
      </c>
      <c r="J31" s="12">
        <f>IF(ISNUMBER($E31),INDEX(Itens!$U$4:$U$603,$E31),"")</f>
        <v/>
      </c>
      <c r="K31" s="13">
        <f>IF(ISNUMBER($E31),INDEX(Itens!$V$4:$V$603,$E31),"")</f>
        <v/>
      </c>
      <c r="L31" s="12">
        <f>IF(ISNUMBER($E31),INDEX(Itens!$O$4:$O$603,$E31),"")</f>
        <v/>
      </c>
      <c r="M31" s="4">
        <f>IF(ISNUMBER($E31),INDEX(Itens!$P$4:$P$603,$E31),"")</f>
        <v/>
      </c>
      <c r="N31" s="12">
        <f>IF(ISNUMBER($E31),INDEX(Itens!$W$4:$W$603,$E31),"")</f>
        <v/>
      </c>
      <c r="O31" s="14">
        <f>IF(ISNUMBER($E31),INDEX(Itens!$X$4:$X$603,$E31),"")</f>
        <v/>
      </c>
      <c r="P31" s="15">
        <f>IF(ISNUMBER($E31),INDEX(Itens!$Y$4:$Y$603,$E31),"")</f>
        <v/>
      </c>
      <c r="Q31" s="14">
        <f>IF(AND(ISNUMBER(O31),ISNUMBER(D31)),O31*D31,0)</f>
        <v/>
      </c>
      <c r="R31" s="12">
        <f>IF(AND(ISNUMBER(K31),ISNUMBER(D31)),K31*D31,0)</f>
        <v/>
      </c>
      <c r="S31" s="16">
        <f>IF(AND(ISNUMBER(F31),ISNUMBER(D31)),D31*F31*(1-RetCraft),0)</f>
        <v/>
      </c>
      <c r="T31" s="4">
        <f>IF(AND(ISNUMBER(F31),ISNUMBER(D31)),D31*F31,0)</f>
        <v/>
      </c>
      <c r="U31" s="4">
        <f>IF(AND(ISNUMBER(H31),ISNUMBER(D31)),IF(H31&gt;0,D31,0),0)</f>
        <v/>
      </c>
    </row>
    <row r="32">
      <c r="A32" s="11" t="n"/>
      <c r="B32" s="11" t="n"/>
      <c r="C32" s="11" t="n"/>
      <c r="D32" s="6" t="n"/>
      <c r="E32" s="4">
        <f>IF(OR(A32="",B32="",C32=""),"",IFERROR(MATCH(A32&amp;"|"&amp;B32&amp;"|"&amp;C32,Itens!$A$4:$A$603,0),"?"))</f>
        <v/>
      </c>
      <c r="F32" s="4">
        <f>IF(ISNUMBER($E32),INDEX(Itens!$G$4:$G$603,$E32),"")</f>
        <v/>
      </c>
      <c r="G32" s="12">
        <f>IF(ISNUMBER($E32),INDEX(Itens!$Q$4:$Q$603,$E32),"")</f>
        <v/>
      </c>
      <c r="H32" s="12">
        <f>IF(ISNUMBER($E32),INDEX(Itens!$R$4:$R$603,$E32),"")</f>
        <v/>
      </c>
      <c r="I32" s="4">
        <f>IF(ISNUMBER($E32),INDEX(Itens!$S$4:$S$603,$E32),"")</f>
        <v/>
      </c>
      <c r="J32" s="12">
        <f>IF(ISNUMBER($E32),INDEX(Itens!$U$4:$U$603,$E32),"")</f>
        <v/>
      </c>
      <c r="K32" s="13">
        <f>IF(ISNUMBER($E32),INDEX(Itens!$V$4:$V$603,$E32),"")</f>
        <v/>
      </c>
      <c r="L32" s="12">
        <f>IF(ISNUMBER($E32),INDEX(Itens!$O$4:$O$603,$E32),"")</f>
        <v/>
      </c>
      <c r="M32" s="4">
        <f>IF(ISNUMBER($E32),INDEX(Itens!$P$4:$P$603,$E32),"")</f>
        <v/>
      </c>
      <c r="N32" s="12">
        <f>IF(ISNUMBER($E32),INDEX(Itens!$W$4:$W$603,$E32),"")</f>
        <v/>
      </c>
      <c r="O32" s="14">
        <f>IF(ISNUMBER($E32),INDEX(Itens!$X$4:$X$603,$E32),"")</f>
        <v/>
      </c>
      <c r="P32" s="15">
        <f>IF(ISNUMBER($E32),INDEX(Itens!$Y$4:$Y$603,$E32),"")</f>
        <v/>
      </c>
      <c r="Q32" s="14">
        <f>IF(AND(ISNUMBER(O32),ISNUMBER(D32)),O32*D32,0)</f>
        <v/>
      </c>
      <c r="R32" s="12">
        <f>IF(AND(ISNUMBER(K32),ISNUMBER(D32)),K32*D32,0)</f>
        <v/>
      </c>
      <c r="S32" s="16">
        <f>IF(AND(ISNUMBER(F32),ISNUMBER(D32)),D32*F32*(1-RetCraft),0)</f>
        <v/>
      </c>
      <c r="T32" s="4">
        <f>IF(AND(ISNUMBER(F32),ISNUMBER(D32)),D32*F32,0)</f>
        <v/>
      </c>
      <c r="U32" s="4">
        <f>IF(AND(ISNUMBER(H32),ISNUMBER(D32)),IF(H32&gt;0,D32,0),0)</f>
        <v/>
      </c>
    </row>
    <row r="33">
      <c r="A33" s="11" t="n"/>
      <c r="B33" s="11" t="n"/>
      <c r="C33" s="11" t="n"/>
      <c r="D33" s="6" t="n"/>
      <c r="E33" s="4">
        <f>IF(OR(A33="",B33="",C33=""),"",IFERROR(MATCH(A33&amp;"|"&amp;B33&amp;"|"&amp;C33,Itens!$A$4:$A$603,0),"?"))</f>
        <v/>
      </c>
      <c r="F33" s="4">
        <f>IF(ISNUMBER($E33),INDEX(Itens!$G$4:$G$603,$E33),"")</f>
        <v/>
      </c>
      <c r="G33" s="12">
        <f>IF(ISNUMBER($E33),INDEX(Itens!$Q$4:$Q$603,$E33),"")</f>
        <v/>
      </c>
      <c r="H33" s="12">
        <f>IF(ISNUMBER($E33),INDEX(Itens!$R$4:$R$603,$E33),"")</f>
        <v/>
      </c>
      <c r="I33" s="4">
        <f>IF(ISNUMBER($E33),INDEX(Itens!$S$4:$S$603,$E33),"")</f>
        <v/>
      </c>
      <c r="J33" s="12">
        <f>IF(ISNUMBER($E33),INDEX(Itens!$U$4:$U$603,$E33),"")</f>
        <v/>
      </c>
      <c r="K33" s="13">
        <f>IF(ISNUMBER($E33),INDEX(Itens!$V$4:$V$603,$E33),"")</f>
        <v/>
      </c>
      <c r="L33" s="12">
        <f>IF(ISNUMBER($E33),INDEX(Itens!$O$4:$O$603,$E33),"")</f>
        <v/>
      </c>
      <c r="M33" s="4">
        <f>IF(ISNUMBER($E33),INDEX(Itens!$P$4:$P$603,$E33),"")</f>
        <v/>
      </c>
      <c r="N33" s="12">
        <f>IF(ISNUMBER($E33),INDEX(Itens!$W$4:$W$603,$E33),"")</f>
        <v/>
      </c>
      <c r="O33" s="14">
        <f>IF(ISNUMBER($E33),INDEX(Itens!$X$4:$X$603,$E33),"")</f>
        <v/>
      </c>
      <c r="P33" s="15">
        <f>IF(ISNUMBER($E33),INDEX(Itens!$Y$4:$Y$603,$E33),"")</f>
        <v/>
      </c>
      <c r="Q33" s="14">
        <f>IF(AND(ISNUMBER(O33),ISNUMBER(D33)),O33*D33,0)</f>
        <v/>
      </c>
      <c r="R33" s="12">
        <f>IF(AND(ISNUMBER(K33),ISNUMBER(D33)),K33*D33,0)</f>
        <v/>
      </c>
      <c r="S33" s="16">
        <f>IF(AND(ISNUMBER(F33),ISNUMBER(D33)),D33*F33*(1-RetCraft),0)</f>
        <v/>
      </c>
      <c r="T33" s="4">
        <f>IF(AND(ISNUMBER(F33),ISNUMBER(D33)),D33*F33,0)</f>
        <v/>
      </c>
      <c r="U33" s="4">
        <f>IF(AND(ISNUMBER(H33),ISNUMBER(D33)),IF(H33&gt;0,D33,0),0)</f>
        <v/>
      </c>
    </row>
    <row r="34">
      <c r="A34" s="11" t="n"/>
      <c r="B34" s="11" t="n"/>
      <c r="C34" s="11" t="n"/>
      <c r="D34" s="6" t="n"/>
      <c r="E34" s="4">
        <f>IF(OR(A34="",B34="",C34=""),"",IFERROR(MATCH(A34&amp;"|"&amp;B34&amp;"|"&amp;C34,Itens!$A$4:$A$603,0),"?"))</f>
        <v/>
      </c>
      <c r="F34" s="4">
        <f>IF(ISNUMBER($E34),INDEX(Itens!$G$4:$G$603,$E34),"")</f>
        <v/>
      </c>
      <c r="G34" s="12">
        <f>IF(ISNUMBER($E34),INDEX(Itens!$Q$4:$Q$603,$E34),"")</f>
        <v/>
      </c>
      <c r="H34" s="12">
        <f>IF(ISNUMBER($E34),INDEX(Itens!$R$4:$R$603,$E34),"")</f>
        <v/>
      </c>
      <c r="I34" s="4">
        <f>IF(ISNUMBER($E34),INDEX(Itens!$S$4:$S$603,$E34),"")</f>
        <v/>
      </c>
      <c r="J34" s="12">
        <f>IF(ISNUMBER($E34),INDEX(Itens!$U$4:$U$603,$E34),"")</f>
        <v/>
      </c>
      <c r="K34" s="13">
        <f>IF(ISNUMBER($E34),INDEX(Itens!$V$4:$V$603,$E34),"")</f>
        <v/>
      </c>
      <c r="L34" s="12">
        <f>IF(ISNUMBER($E34),INDEX(Itens!$O$4:$O$603,$E34),"")</f>
        <v/>
      </c>
      <c r="M34" s="4">
        <f>IF(ISNUMBER($E34),INDEX(Itens!$P$4:$P$603,$E34),"")</f>
        <v/>
      </c>
      <c r="N34" s="12">
        <f>IF(ISNUMBER($E34),INDEX(Itens!$W$4:$W$603,$E34),"")</f>
        <v/>
      </c>
      <c r="O34" s="14">
        <f>IF(ISNUMBER($E34),INDEX(Itens!$X$4:$X$603,$E34),"")</f>
        <v/>
      </c>
      <c r="P34" s="15">
        <f>IF(ISNUMBER($E34),INDEX(Itens!$Y$4:$Y$603,$E34),"")</f>
        <v/>
      </c>
      <c r="Q34" s="14">
        <f>IF(AND(ISNUMBER(O34),ISNUMBER(D34)),O34*D34,0)</f>
        <v/>
      </c>
      <c r="R34" s="12">
        <f>IF(AND(ISNUMBER(K34),ISNUMBER(D34)),K34*D34,0)</f>
        <v/>
      </c>
      <c r="S34" s="16">
        <f>IF(AND(ISNUMBER(F34),ISNUMBER(D34)),D34*F34*(1-RetCraft),0)</f>
        <v/>
      </c>
      <c r="T34" s="4">
        <f>IF(AND(ISNUMBER(F34),ISNUMBER(D34)),D34*F34,0)</f>
        <v/>
      </c>
      <c r="U34" s="4">
        <f>IF(AND(ISNUMBER(H34),ISNUMBER(D34)),IF(H34&gt;0,D34,0),0)</f>
        <v/>
      </c>
    </row>
    <row r="35">
      <c r="A35" s="11" t="n"/>
      <c r="B35" s="11" t="n"/>
      <c r="C35" s="11" t="n"/>
      <c r="D35" s="6" t="n"/>
      <c r="E35" s="4">
        <f>IF(OR(A35="",B35="",C35=""),"",IFERROR(MATCH(A35&amp;"|"&amp;B35&amp;"|"&amp;C35,Itens!$A$4:$A$603,0),"?"))</f>
        <v/>
      </c>
      <c r="F35" s="4">
        <f>IF(ISNUMBER($E35),INDEX(Itens!$G$4:$G$603,$E35),"")</f>
        <v/>
      </c>
      <c r="G35" s="12">
        <f>IF(ISNUMBER($E35),INDEX(Itens!$Q$4:$Q$603,$E35),"")</f>
        <v/>
      </c>
      <c r="H35" s="12">
        <f>IF(ISNUMBER($E35),INDEX(Itens!$R$4:$R$603,$E35),"")</f>
        <v/>
      </c>
      <c r="I35" s="4">
        <f>IF(ISNUMBER($E35),INDEX(Itens!$S$4:$S$603,$E35),"")</f>
        <v/>
      </c>
      <c r="J35" s="12">
        <f>IF(ISNUMBER($E35),INDEX(Itens!$U$4:$U$603,$E35),"")</f>
        <v/>
      </c>
      <c r="K35" s="13">
        <f>IF(ISNUMBER($E35),INDEX(Itens!$V$4:$V$603,$E35),"")</f>
        <v/>
      </c>
      <c r="L35" s="12">
        <f>IF(ISNUMBER($E35),INDEX(Itens!$O$4:$O$603,$E35),"")</f>
        <v/>
      </c>
      <c r="M35" s="4">
        <f>IF(ISNUMBER($E35),INDEX(Itens!$P$4:$P$603,$E35),"")</f>
        <v/>
      </c>
      <c r="N35" s="12">
        <f>IF(ISNUMBER($E35),INDEX(Itens!$W$4:$W$603,$E35),"")</f>
        <v/>
      </c>
      <c r="O35" s="14">
        <f>IF(ISNUMBER($E35),INDEX(Itens!$X$4:$X$603,$E35),"")</f>
        <v/>
      </c>
      <c r="P35" s="15">
        <f>IF(ISNUMBER($E35),INDEX(Itens!$Y$4:$Y$603,$E35),"")</f>
        <v/>
      </c>
      <c r="Q35" s="14">
        <f>IF(AND(ISNUMBER(O35),ISNUMBER(D35)),O35*D35,0)</f>
        <v/>
      </c>
      <c r="R35" s="12">
        <f>IF(AND(ISNUMBER(K35),ISNUMBER(D35)),K35*D35,0)</f>
        <v/>
      </c>
      <c r="S35" s="16">
        <f>IF(AND(ISNUMBER(F35),ISNUMBER(D35)),D35*F35*(1-RetCraft),0)</f>
        <v/>
      </c>
      <c r="T35" s="4">
        <f>IF(AND(ISNUMBER(F35),ISNUMBER(D35)),D35*F35,0)</f>
        <v/>
      </c>
      <c r="U35" s="4">
        <f>IF(AND(ISNUMBER(H35),ISNUMBER(D35)),IF(H35&gt;0,D35,0),0)</f>
        <v/>
      </c>
    </row>
  </sheetData>
  <conditionalFormatting sqref="O6:O35">
    <cfRule type="cellIs" priority="1" operator="greaterThan" dxfId="0">
      <formula>0</formula>
    </cfRule>
  </conditionalFormatting>
  <conditionalFormatting sqref="Q6:Q35">
    <cfRule type="cellIs" priority="2" operator="greaterThan" dxfId="0">
      <formula>0</formula>
    </cfRule>
  </conditionalFormatting>
  <dataValidations count="3">
    <dataValidation sqref="A6:A35" showDropDown="0" showInputMessage="0" showErrorMessage="0" allowBlank="1" type="list">
      <formula1>=Listas!$A$2:$A$9</formula1>
    </dataValidation>
    <dataValidation sqref="B6:B35" showDropDown="0" showInputMessage="0" showErrorMessage="0" allowBlank="1" type="list">
      <formula1>=Listas!$C$2:$C$4</formula1>
    </dataValidation>
    <dataValidation sqref="C6:C35" showDropDown="0" showInputMessage="0" showErrorMessage="0" allowBlank="1" type="list">
      <formula1>=Listas!$E$2:$E$26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20" customWidth="1" min="7" max="7"/>
    <col width="9" customWidth="1" min="8" max="8"/>
    <col width="14" customWidth="1" min="9" max="9"/>
    <col width="11" customWidth="1" min="10" max="10"/>
    <col width="13" customWidth="1" min="11" max="11"/>
    <col width="3" customWidth="1" min="12" max="12"/>
    <col width="40" customWidth="1" min="13" max="13"/>
    <col width="9" customWidth="1" min="14" max="14"/>
    <col width="14" customWidth="1" min="15" max="15"/>
    <col width="11" customWidth="1" min="16" max="16"/>
    <col width="13" customWidth="1" min="17" max="17"/>
  </cols>
  <sheetData>
    <row r="1">
      <c r="A1" s="1" t="inlineStr">
        <is>
          <t>Lista de compras para o que está planejado na aba Craft</t>
        </is>
      </c>
    </row>
    <row r="2">
      <c r="A2" s="2" t="inlineStr">
        <is>
          <t>Quantidades líquidas (descontado o retorno de recursos esperado). Linhas com zero ficam vazias.</t>
        </is>
      </c>
    </row>
    <row r="3">
      <c r="A3" s="8" t="inlineStr">
        <is>
          <t>TOTAL A INVESTIR (barras + minério + artefatos):</t>
        </is>
      </c>
      <c r="F3" s="10">
        <f>E37+K37+Q37</f>
        <v/>
      </c>
      <c r="H3" s="8" t="inlineStr">
        <is>
          <t>Lucro esperado:</t>
        </is>
      </c>
      <c r="I3" s="9">
        <f>Craft!D3</f>
        <v/>
      </c>
    </row>
    <row r="5" ht="30" customHeight="1">
      <c r="A5" s="3" t="inlineStr">
        <is>
          <t>BARRAS a comprar</t>
        </is>
      </c>
      <c r="B5" s="3" t="inlineStr">
        <is>
          <t>Qtd</t>
        </is>
      </c>
      <c r="C5" s="3" t="inlineStr">
        <is>
          <t>Cidade</t>
        </is>
      </c>
      <c r="D5" s="3" t="inlineStr">
        <is>
          <t>Preço unit.</t>
        </is>
      </c>
      <c r="E5" s="3" t="inlineStr">
        <is>
          <t>Total</t>
        </is>
      </c>
      <c r="G5" s="17" t="inlineStr">
        <is>
          <t>MINÉRIO a comprar</t>
        </is>
      </c>
      <c r="H5" s="17" t="inlineStr">
        <is>
          <t>Qtd</t>
        </is>
      </c>
      <c r="I5" s="17" t="inlineStr">
        <is>
          <t>Cidade</t>
        </is>
      </c>
      <c r="J5" s="17" t="inlineStr">
        <is>
          <t>Preço unit.</t>
        </is>
      </c>
      <c r="K5" s="17" t="inlineStr">
        <is>
          <t>Total</t>
        </is>
      </c>
      <c r="M5" s="18" t="inlineStr">
        <is>
          <t>ARTEFATOS a comprar</t>
        </is>
      </c>
      <c r="N5" s="18" t="inlineStr">
        <is>
          <t>Qtd</t>
        </is>
      </c>
      <c r="O5" s="18" t="inlineStr">
        <is>
          <t>Cidade</t>
        </is>
      </c>
      <c r="P5" s="18" t="inlineStr">
        <is>
          <t>Preço unit.</t>
        </is>
      </c>
      <c r="Q5" s="18" t="inlineStr">
        <is>
          <t>Total</t>
        </is>
      </c>
    </row>
    <row r="6">
      <c r="A6" t="inlineStr">
        <is>
          <t>T2.0</t>
        </is>
      </c>
      <c r="B6" s="19">
        <f>Refino!Q3</f>
        <v/>
      </c>
      <c r="C6">
        <f>IF(B6&gt;0,Refino!J3,"")</f>
        <v/>
      </c>
      <c r="D6" s="20">
        <f>IF(B6&gt;0,Refino!I3,"")</f>
        <v/>
      </c>
      <c r="E6" s="20">
        <f>Refino!T3</f>
        <v/>
      </c>
      <c r="G6" t="inlineStr">
        <is>
          <t>T2.0</t>
        </is>
      </c>
      <c r="H6" s="19">
        <f>Refino!S3</f>
        <v/>
      </c>
      <c r="I6">
        <f>IF(H6&gt;0,Refino!V3,"")</f>
        <v/>
      </c>
      <c r="J6" s="20">
        <f>IF(H6&gt;0,Refino!G3,"")</f>
        <v/>
      </c>
      <c r="K6" s="20">
        <f>Refino!U3</f>
        <v/>
      </c>
      <c r="M6">
        <f>IF(Craft!U6&gt;0,Craft!A6&amp;" "&amp;Craft!B6&amp;" "&amp;Craft!C6,"")</f>
        <v/>
      </c>
      <c r="N6" s="20">
        <f>Craft!U6</f>
        <v/>
      </c>
      <c r="O6">
        <f>IF(N6&gt;0,Craft!I6,"")</f>
        <v/>
      </c>
      <c r="P6" s="20">
        <f>IF(N6&gt;0,Craft!H6,"")</f>
        <v/>
      </c>
      <c r="Q6" s="20">
        <f>IF(AND(N6&gt;0,ISNUMBER(P6)),N6*P6,0)</f>
        <v/>
      </c>
    </row>
    <row r="7">
      <c r="A7" t="inlineStr">
        <is>
          <t>T3.0</t>
        </is>
      </c>
      <c r="B7" s="19">
        <f>Refino!Q4</f>
        <v/>
      </c>
      <c r="C7">
        <f>IF(B7&gt;0,Refino!J4,"")</f>
        <v/>
      </c>
      <c r="D7" s="20">
        <f>IF(B7&gt;0,Refino!I4,"")</f>
        <v/>
      </c>
      <c r="E7" s="20">
        <f>Refino!T4</f>
        <v/>
      </c>
      <c r="G7" t="inlineStr">
        <is>
          <t>T3.0</t>
        </is>
      </c>
      <c r="H7" s="19">
        <f>Refino!S4</f>
        <v/>
      </c>
      <c r="I7">
        <f>IF(H7&gt;0,Refino!V4,"")</f>
        <v/>
      </c>
      <c r="J7" s="20">
        <f>IF(H7&gt;0,Refino!G4,"")</f>
        <v/>
      </c>
      <c r="K7" s="20">
        <f>Refino!U4</f>
        <v/>
      </c>
      <c r="M7">
        <f>IF(Craft!U7&gt;0,Craft!A7&amp;" "&amp;Craft!B7&amp;" "&amp;Craft!C7,"")</f>
        <v/>
      </c>
      <c r="N7" s="20">
        <f>Craft!U7</f>
        <v/>
      </c>
      <c r="O7">
        <f>IF(N7&gt;0,Craft!I7,"")</f>
        <v/>
      </c>
      <c r="P7" s="20">
        <f>IF(N7&gt;0,Craft!H7,"")</f>
        <v/>
      </c>
      <c r="Q7" s="20">
        <f>IF(AND(N7&gt;0,ISNUMBER(P7)),N7*P7,0)</f>
        <v/>
      </c>
    </row>
    <row r="8">
      <c r="A8" t="inlineStr">
        <is>
          <t>T4.0</t>
        </is>
      </c>
      <c r="B8" s="19">
        <f>Refino!Q5</f>
        <v/>
      </c>
      <c r="C8">
        <f>IF(B8&gt;0,Refino!J5,"")</f>
        <v/>
      </c>
      <c r="D8" s="20">
        <f>IF(B8&gt;0,Refino!I5,"")</f>
        <v/>
      </c>
      <c r="E8" s="20">
        <f>Refino!T5</f>
        <v/>
      </c>
      <c r="G8" t="inlineStr">
        <is>
          <t>T4.0</t>
        </is>
      </c>
      <c r="H8" s="19">
        <f>Refino!S5</f>
        <v/>
      </c>
      <c r="I8">
        <f>IF(H8&gt;0,Refino!V5,"")</f>
        <v/>
      </c>
      <c r="J8" s="20">
        <f>IF(H8&gt;0,Refino!G5,"")</f>
        <v/>
      </c>
      <c r="K8" s="20">
        <f>Refino!U5</f>
        <v/>
      </c>
      <c r="M8">
        <f>IF(Craft!U8&gt;0,Craft!A8&amp;" "&amp;Craft!B8&amp;" "&amp;Craft!C8,"")</f>
        <v/>
      </c>
      <c r="N8" s="20">
        <f>Craft!U8</f>
        <v/>
      </c>
      <c r="O8">
        <f>IF(N8&gt;0,Craft!I8,"")</f>
        <v/>
      </c>
      <c r="P8" s="20">
        <f>IF(N8&gt;0,Craft!H8,"")</f>
        <v/>
      </c>
      <c r="Q8" s="20">
        <f>IF(AND(N8&gt;0,ISNUMBER(P8)),N8*P8,0)</f>
        <v/>
      </c>
    </row>
    <row r="9">
      <c r="A9" t="inlineStr">
        <is>
          <t>T4.1</t>
        </is>
      </c>
      <c r="B9" s="19">
        <f>Refino!Q6</f>
        <v/>
      </c>
      <c r="C9">
        <f>IF(B9&gt;0,Refino!J6,"")</f>
        <v/>
      </c>
      <c r="D9" s="20">
        <f>IF(B9&gt;0,Refino!I6,"")</f>
        <v/>
      </c>
      <c r="E9" s="20">
        <f>Refino!T6</f>
        <v/>
      </c>
      <c r="G9" t="inlineStr">
        <is>
          <t>T4.1</t>
        </is>
      </c>
      <c r="H9" s="19">
        <f>Refino!S6</f>
        <v/>
      </c>
      <c r="I9">
        <f>IF(H9&gt;0,Refino!V6,"")</f>
        <v/>
      </c>
      <c r="J9" s="20">
        <f>IF(H9&gt;0,Refino!G6,"")</f>
        <v/>
      </c>
      <c r="K9" s="20">
        <f>Refino!U6</f>
        <v/>
      </c>
      <c r="M9">
        <f>IF(Craft!U9&gt;0,Craft!A9&amp;" "&amp;Craft!B9&amp;" "&amp;Craft!C9,"")</f>
        <v/>
      </c>
      <c r="N9" s="20">
        <f>Craft!U9</f>
        <v/>
      </c>
      <c r="O9">
        <f>IF(N9&gt;0,Craft!I9,"")</f>
        <v/>
      </c>
      <c r="P9" s="20">
        <f>IF(N9&gt;0,Craft!H9,"")</f>
        <v/>
      </c>
      <c r="Q9" s="20">
        <f>IF(AND(N9&gt;0,ISNUMBER(P9)),N9*P9,0)</f>
        <v/>
      </c>
    </row>
    <row r="10">
      <c r="A10" t="inlineStr">
        <is>
          <t>T4.2</t>
        </is>
      </c>
      <c r="B10" s="19">
        <f>Refino!Q7</f>
        <v/>
      </c>
      <c r="C10">
        <f>IF(B10&gt;0,Refino!J7,"")</f>
        <v/>
      </c>
      <c r="D10" s="20">
        <f>IF(B10&gt;0,Refino!I7,"")</f>
        <v/>
      </c>
      <c r="E10" s="20">
        <f>Refino!T7</f>
        <v/>
      </c>
      <c r="G10" t="inlineStr">
        <is>
          <t>T4.2</t>
        </is>
      </c>
      <c r="H10" s="19">
        <f>Refino!S7</f>
        <v/>
      </c>
      <c r="I10">
        <f>IF(H10&gt;0,Refino!V7,"")</f>
        <v/>
      </c>
      <c r="J10" s="20">
        <f>IF(H10&gt;0,Refino!G7,"")</f>
        <v/>
      </c>
      <c r="K10" s="20">
        <f>Refino!U7</f>
        <v/>
      </c>
      <c r="M10">
        <f>IF(Craft!U10&gt;0,Craft!A10&amp;" "&amp;Craft!B10&amp;" "&amp;Craft!C10,"")</f>
        <v/>
      </c>
      <c r="N10" s="20">
        <f>Craft!U10</f>
        <v/>
      </c>
      <c r="O10">
        <f>IF(N10&gt;0,Craft!I10,"")</f>
        <v/>
      </c>
      <c r="P10" s="20">
        <f>IF(N10&gt;0,Craft!H10,"")</f>
        <v/>
      </c>
      <c r="Q10" s="20">
        <f>IF(AND(N10&gt;0,ISNUMBER(P10)),N10*P10,0)</f>
        <v/>
      </c>
    </row>
    <row r="11">
      <c r="A11" t="inlineStr">
        <is>
          <t>T4.3</t>
        </is>
      </c>
      <c r="B11" s="19">
        <f>Refino!Q8</f>
        <v/>
      </c>
      <c r="C11">
        <f>IF(B11&gt;0,Refino!J8,"")</f>
        <v/>
      </c>
      <c r="D11" s="20">
        <f>IF(B11&gt;0,Refino!I8,"")</f>
        <v/>
      </c>
      <c r="E11" s="20">
        <f>Refino!T8</f>
        <v/>
      </c>
      <c r="G11" t="inlineStr">
        <is>
          <t>T4.3</t>
        </is>
      </c>
      <c r="H11" s="19">
        <f>Refino!S8</f>
        <v/>
      </c>
      <c r="I11">
        <f>IF(H11&gt;0,Refino!V8,"")</f>
        <v/>
      </c>
      <c r="J11" s="20">
        <f>IF(H11&gt;0,Refino!G8,"")</f>
        <v/>
      </c>
      <c r="K11" s="20">
        <f>Refino!U8</f>
        <v/>
      </c>
      <c r="M11">
        <f>IF(Craft!U11&gt;0,Craft!A11&amp;" "&amp;Craft!B11&amp;" "&amp;Craft!C11,"")</f>
        <v/>
      </c>
      <c r="N11" s="20">
        <f>Craft!U11</f>
        <v/>
      </c>
      <c r="O11">
        <f>IF(N11&gt;0,Craft!I11,"")</f>
        <v/>
      </c>
      <c r="P11" s="20">
        <f>IF(N11&gt;0,Craft!H11,"")</f>
        <v/>
      </c>
      <c r="Q11" s="20">
        <f>IF(AND(N11&gt;0,ISNUMBER(P11)),N11*P11,0)</f>
        <v/>
      </c>
    </row>
    <row r="12">
      <c r="A12" t="inlineStr">
        <is>
          <t>T4.4</t>
        </is>
      </c>
      <c r="B12" s="19">
        <f>Refino!Q9</f>
        <v/>
      </c>
      <c r="C12">
        <f>IF(B12&gt;0,Refino!J9,"")</f>
        <v/>
      </c>
      <c r="D12" s="20">
        <f>IF(B12&gt;0,Refino!I9,"")</f>
        <v/>
      </c>
      <c r="E12" s="20">
        <f>Refino!T9</f>
        <v/>
      </c>
      <c r="G12" t="inlineStr">
        <is>
          <t>T4.4</t>
        </is>
      </c>
      <c r="H12" s="19">
        <f>Refino!S9</f>
        <v/>
      </c>
      <c r="I12">
        <f>IF(H12&gt;0,Refino!V9,"")</f>
        <v/>
      </c>
      <c r="J12" s="20">
        <f>IF(H12&gt;0,Refino!G9,"")</f>
        <v/>
      </c>
      <c r="K12" s="20">
        <f>Refino!U9</f>
        <v/>
      </c>
      <c r="M12">
        <f>IF(Craft!U12&gt;0,Craft!A12&amp;" "&amp;Craft!B12&amp;" "&amp;Craft!C12,"")</f>
        <v/>
      </c>
      <c r="N12" s="20">
        <f>Craft!U12</f>
        <v/>
      </c>
      <c r="O12">
        <f>IF(N12&gt;0,Craft!I12,"")</f>
        <v/>
      </c>
      <c r="P12" s="20">
        <f>IF(N12&gt;0,Craft!H12,"")</f>
        <v/>
      </c>
      <c r="Q12" s="20">
        <f>IF(AND(N12&gt;0,ISNUMBER(P12)),N12*P12,0)</f>
        <v/>
      </c>
    </row>
    <row r="13">
      <c r="A13" t="inlineStr">
        <is>
          <t>T5.0</t>
        </is>
      </c>
      <c r="B13" s="19">
        <f>Refino!Q10</f>
        <v/>
      </c>
      <c r="C13">
        <f>IF(B13&gt;0,Refino!J10,"")</f>
        <v/>
      </c>
      <c r="D13" s="20">
        <f>IF(B13&gt;0,Refino!I10,"")</f>
        <v/>
      </c>
      <c r="E13" s="20">
        <f>Refino!T10</f>
        <v/>
      </c>
      <c r="G13" t="inlineStr">
        <is>
          <t>T5.0</t>
        </is>
      </c>
      <c r="H13" s="19">
        <f>Refino!S10</f>
        <v/>
      </c>
      <c r="I13">
        <f>IF(H13&gt;0,Refino!V10,"")</f>
        <v/>
      </c>
      <c r="J13" s="20">
        <f>IF(H13&gt;0,Refino!G10,"")</f>
        <v/>
      </c>
      <c r="K13" s="20">
        <f>Refino!U10</f>
        <v/>
      </c>
      <c r="M13">
        <f>IF(Craft!U13&gt;0,Craft!A13&amp;" "&amp;Craft!B13&amp;" "&amp;Craft!C13,"")</f>
        <v/>
      </c>
      <c r="N13" s="20">
        <f>Craft!U13</f>
        <v/>
      </c>
      <c r="O13">
        <f>IF(N13&gt;0,Craft!I13,"")</f>
        <v/>
      </c>
      <c r="P13" s="20">
        <f>IF(N13&gt;0,Craft!H13,"")</f>
        <v/>
      </c>
      <c r="Q13" s="20">
        <f>IF(AND(N13&gt;0,ISNUMBER(P13)),N13*P13,0)</f>
        <v/>
      </c>
    </row>
    <row r="14">
      <c r="A14" t="inlineStr">
        <is>
          <t>T5.1</t>
        </is>
      </c>
      <c r="B14" s="19">
        <f>Refino!Q11</f>
        <v/>
      </c>
      <c r="C14">
        <f>IF(B14&gt;0,Refino!J11,"")</f>
        <v/>
      </c>
      <c r="D14" s="20">
        <f>IF(B14&gt;0,Refino!I11,"")</f>
        <v/>
      </c>
      <c r="E14" s="20">
        <f>Refino!T11</f>
        <v/>
      </c>
      <c r="G14" t="inlineStr">
        <is>
          <t>T5.1</t>
        </is>
      </c>
      <c r="H14" s="19">
        <f>Refino!S11</f>
        <v/>
      </c>
      <c r="I14">
        <f>IF(H14&gt;0,Refino!V11,"")</f>
        <v/>
      </c>
      <c r="J14" s="20">
        <f>IF(H14&gt;0,Refino!G11,"")</f>
        <v/>
      </c>
      <c r="K14" s="20">
        <f>Refino!U11</f>
        <v/>
      </c>
      <c r="M14">
        <f>IF(Craft!U14&gt;0,Craft!A14&amp;" "&amp;Craft!B14&amp;" "&amp;Craft!C14,"")</f>
        <v/>
      </c>
      <c r="N14" s="20">
        <f>Craft!U14</f>
        <v/>
      </c>
      <c r="O14">
        <f>IF(N14&gt;0,Craft!I14,"")</f>
        <v/>
      </c>
      <c r="P14" s="20">
        <f>IF(N14&gt;0,Craft!H14,"")</f>
        <v/>
      </c>
      <c r="Q14" s="20">
        <f>IF(AND(N14&gt;0,ISNUMBER(P14)),N14*P14,0)</f>
        <v/>
      </c>
    </row>
    <row r="15">
      <c r="A15" t="inlineStr">
        <is>
          <t>T5.2</t>
        </is>
      </c>
      <c r="B15" s="19">
        <f>Refino!Q12</f>
        <v/>
      </c>
      <c r="C15">
        <f>IF(B15&gt;0,Refino!J12,"")</f>
        <v/>
      </c>
      <c r="D15" s="20">
        <f>IF(B15&gt;0,Refino!I12,"")</f>
        <v/>
      </c>
      <c r="E15" s="20">
        <f>Refino!T12</f>
        <v/>
      </c>
      <c r="G15" t="inlineStr">
        <is>
          <t>T5.2</t>
        </is>
      </c>
      <c r="H15" s="19">
        <f>Refino!S12</f>
        <v/>
      </c>
      <c r="I15">
        <f>IF(H15&gt;0,Refino!V12,"")</f>
        <v/>
      </c>
      <c r="J15" s="20">
        <f>IF(H15&gt;0,Refino!G12,"")</f>
        <v/>
      </c>
      <c r="K15" s="20">
        <f>Refino!U12</f>
        <v/>
      </c>
      <c r="M15">
        <f>IF(Craft!U15&gt;0,Craft!A15&amp;" "&amp;Craft!B15&amp;" "&amp;Craft!C15,"")</f>
        <v/>
      </c>
      <c r="N15" s="20">
        <f>Craft!U15</f>
        <v/>
      </c>
      <c r="O15">
        <f>IF(N15&gt;0,Craft!I15,"")</f>
        <v/>
      </c>
      <c r="P15" s="20">
        <f>IF(N15&gt;0,Craft!H15,"")</f>
        <v/>
      </c>
      <c r="Q15" s="20">
        <f>IF(AND(N15&gt;0,ISNUMBER(P15)),N15*P15,0)</f>
        <v/>
      </c>
    </row>
    <row r="16">
      <c r="A16" t="inlineStr">
        <is>
          <t>T5.3</t>
        </is>
      </c>
      <c r="B16" s="19">
        <f>Refino!Q13</f>
        <v/>
      </c>
      <c r="C16">
        <f>IF(B16&gt;0,Refino!J13,"")</f>
        <v/>
      </c>
      <c r="D16" s="20">
        <f>IF(B16&gt;0,Refino!I13,"")</f>
        <v/>
      </c>
      <c r="E16" s="20">
        <f>Refino!T13</f>
        <v/>
      </c>
      <c r="G16" t="inlineStr">
        <is>
          <t>T5.3</t>
        </is>
      </c>
      <c r="H16" s="19">
        <f>Refino!S13</f>
        <v/>
      </c>
      <c r="I16">
        <f>IF(H16&gt;0,Refino!V13,"")</f>
        <v/>
      </c>
      <c r="J16" s="20">
        <f>IF(H16&gt;0,Refino!G13,"")</f>
        <v/>
      </c>
      <c r="K16" s="20">
        <f>Refino!U13</f>
        <v/>
      </c>
      <c r="M16">
        <f>IF(Craft!U16&gt;0,Craft!A16&amp;" "&amp;Craft!B16&amp;" "&amp;Craft!C16,"")</f>
        <v/>
      </c>
      <c r="N16" s="20">
        <f>Craft!U16</f>
        <v/>
      </c>
      <c r="O16">
        <f>IF(N16&gt;0,Craft!I16,"")</f>
        <v/>
      </c>
      <c r="P16" s="20">
        <f>IF(N16&gt;0,Craft!H16,"")</f>
        <v/>
      </c>
      <c r="Q16" s="20">
        <f>IF(AND(N16&gt;0,ISNUMBER(P16)),N16*P16,0)</f>
        <v/>
      </c>
    </row>
    <row r="17">
      <c r="A17" t="inlineStr">
        <is>
          <t>T5.4</t>
        </is>
      </c>
      <c r="B17" s="19">
        <f>Refino!Q14</f>
        <v/>
      </c>
      <c r="C17">
        <f>IF(B17&gt;0,Refino!J14,"")</f>
        <v/>
      </c>
      <c r="D17" s="20">
        <f>IF(B17&gt;0,Refino!I14,"")</f>
        <v/>
      </c>
      <c r="E17" s="20">
        <f>Refino!T14</f>
        <v/>
      </c>
      <c r="G17" t="inlineStr">
        <is>
          <t>T5.4</t>
        </is>
      </c>
      <c r="H17" s="19">
        <f>Refino!S14</f>
        <v/>
      </c>
      <c r="I17">
        <f>IF(H17&gt;0,Refino!V14,"")</f>
        <v/>
      </c>
      <c r="J17" s="20">
        <f>IF(H17&gt;0,Refino!G14,"")</f>
        <v/>
      </c>
      <c r="K17" s="20">
        <f>Refino!U14</f>
        <v/>
      </c>
      <c r="M17">
        <f>IF(Craft!U17&gt;0,Craft!A17&amp;" "&amp;Craft!B17&amp;" "&amp;Craft!C17,"")</f>
        <v/>
      </c>
      <c r="N17" s="20">
        <f>Craft!U17</f>
        <v/>
      </c>
      <c r="O17">
        <f>IF(N17&gt;0,Craft!I17,"")</f>
        <v/>
      </c>
      <c r="P17" s="20">
        <f>IF(N17&gt;0,Craft!H17,"")</f>
        <v/>
      </c>
      <c r="Q17" s="20">
        <f>IF(AND(N17&gt;0,ISNUMBER(P17)),N17*P17,0)</f>
        <v/>
      </c>
    </row>
    <row r="18">
      <c r="A18" t="inlineStr">
        <is>
          <t>T6.0</t>
        </is>
      </c>
      <c r="B18" s="19">
        <f>Refino!Q15</f>
        <v/>
      </c>
      <c r="C18">
        <f>IF(B18&gt;0,Refino!J15,"")</f>
        <v/>
      </c>
      <c r="D18" s="20">
        <f>IF(B18&gt;0,Refino!I15,"")</f>
        <v/>
      </c>
      <c r="E18" s="20">
        <f>Refino!T15</f>
        <v/>
      </c>
      <c r="G18" t="inlineStr">
        <is>
          <t>T6.0</t>
        </is>
      </c>
      <c r="H18" s="19">
        <f>Refino!S15</f>
        <v/>
      </c>
      <c r="I18">
        <f>IF(H18&gt;0,Refino!V15,"")</f>
        <v/>
      </c>
      <c r="J18" s="20">
        <f>IF(H18&gt;0,Refino!G15,"")</f>
        <v/>
      </c>
      <c r="K18" s="20">
        <f>Refino!U15</f>
        <v/>
      </c>
      <c r="M18">
        <f>IF(Craft!U18&gt;0,Craft!A18&amp;" "&amp;Craft!B18&amp;" "&amp;Craft!C18,"")</f>
        <v/>
      </c>
      <c r="N18" s="20">
        <f>Craft!U18</f>
        <v/>
      </c>
      <c r="O18">
        <f>IF(N18&gt;0,Craft!I18,"")</f>
        <v/>
      </c>
      <c r="P18" s="20">
        <f>IF(N18&gt;0,Craft!H18,"")</f>
        <v/>
      </c>
      <c r="Q18" s="20">
        <f>IF(AND(N18&gt;0,ISNUMBER(P18)),N18*P18,0)</f>
        <v/>
      </c>
    </row>
    <row r="19">
      <c r="A19" t="inlineStr">
        <is>
          <t>T6.1</t>
        </is>
      </c>
      <c r="B19" s="19">
        <f>Refino!Q16</f>
        <v/>
      </c>
      <c r="C19">
        <f>IF(B19&gt;0,Refino!J16,"")</f>
        <v/>
      </c>
      <c r="D19" s="20">
        <f>IF(B19&gt;0,Refino!I16,"")</f>
        <v/>
      </c>
      <c r="E19" s="20">
        <f>Refino!T16</f>
        <v/>
      </c>
      <c r="G19" t="inlineStr">
        <is>
          <t>T6.1</t>
        </is>
      </c>
      <c r="H19" s="19">
        <f>Refino!S16</f>
        <v/>
      </c>
      <c r="I19">
        <f>IF(H19&gt;0,Refino!V16,"")</f>
        <v/>
      </c>
      <c r="J19" s="20">
        <f>IF(H19&gt;0,Refino!G16,"")</f>
        <v/>
      </c>
      <c r="K19" s="20">
        <f>Refino!U16</f>
        <v/>
      </c>
      <c r="M19">
        <f>IF(Craft!U19&gt;0,Craft!A19&amp;" "&amp;Craft!B19&amp;" "&amp;Craft!C19,"")</f>
        <v/>
      </c>
      <c r="N19" s="20">
        <f>Craft!U19</f>
        <v/>
      </c>
      <c r="O19">
        <f>IF(N19&gt;0,Craft!I19,"")</f>
        <v/>
      </c>
      <c r="P19" s="20">
        <f>IF(N19&gt;0,Craft!H19,"")</f>
        <v/>
      </c>
      <c r="Q19" s="20">
        <f>IF(AND(N19&gt;0,ISNUMBER(P19)),N19*P19,0)</f>
        <v/>
      </c>
    </row>
    <row r="20">
      <c r="A20" t="inlineStr">
        <is>
          <t>T6.2</t>
        </is>
      </c>
      <c r="B20" s="19">
        <f>Refino!Q17</f>
        <v/>
      </c>
      <c r="C20">
        <f>IF(B20&gt;0,Refino!J17,"")</f>
        <v/>
      </c>
      <c r="D20" s="20">
        <f>IF(B20&gt;0,Refino!I17,"")</f>
        <v/>
      </c>
      <c r="E20" s="20">
        <f>Refino!T17</f>
        <v/>
      </c>
      <c r="G20" t="inlineStr">
        <is>
          <t>T6.2</t>
        </is>
      </c>
      <c r="H20" s="19">
        <f>Refino!S17</f>
        <v/>
      </c>
      <c r="I20">
        <f>IF(H20&gt;0,Refino!V17,"")</f>
        <v/>
      </c>
      <c r="J20" s="20">
        <f>IF(H20&gt;0,Refino!G17,"")</f>
        <v/>
      </c>
      <c r="K20" s="20">
        <f>Refino!U17</f>
        <v/>
      </c>
      <c r="M20">
        <f>IF(Craft!U20&gt;0,Craft!A20&amp;" "&amp;Craft!B20&amp;" "&amp;Craft!C20,"")</f>
        <v/>
      </c>
      <c r="N20" s="20">
        <f>Craft!U20</f>
        <v/>
      </c>
      <c r="O20">
        <f>IF(N20&gt;0,Craft!I20,"")</f>
        <v/>
      </c>
      <c r="P20" s="20">
        <f>IF(N20&gt;0,Craft!H20,"")</f>
        <v/>
      </c>
      <c r="Q20" s="20">
        <f>IF(AND(N20&gt;0,ISNUMBER(P20)),N20*P20,0)</f>
        <v/>
      </c>
    </row>
    <row r="21">
      <c r="A21" t="inlineStr">
        <is>
          <t>T6.3</t>
        </is>
      </c>
      <c r="B21" s="19">
        <f>Refino!Q18</f>
        <v/>
      </c>
      <c r="C21">
        <f>IF(B21&gt;0,Refino!J18,"")</f>
        <v/>
      </c>
      <c r="D21" s="20">
        <f>IF(B21&gt;0,Refino!I18,"")</f>
        <v/>
      </c>
      <c r="E21" s="20">
        <f>Refino!T18</f>
        <v/>
      </c>
      <c r="G21" t="inlineStr">
        <is>
          <t>T6.3</t>
        </is>
      </c>
      <c r="H21" s="19">
        <f>Refino!S18</f>
        <v/>
      </c>
      <c r="I21">
        <f>IF(H21&gt;0,Refino!V18,"")</f>
        <v/>
      </c>
      <c r="J21" s="20">
        <f>IF(H21&gt;0,Refino!G18,"")</f>
        <v/>
      </c>
      <c r="K21" s="20">
        <f>Refino!U18</f>
        <v/>
      </c>
      <c r="M21">
        <f>IF(Craft!U21&gt;0,Craft!A21&amp;" "&amp;Craft!B21&amp;" "&amp;Craft!C21,"")</f>
        <v/>
      </c>
      <c r="N21" s="20">
        <f>Craft!U21</f>
        <v/>
      </c>
      <c r="O21">
        <f>IF(N21&gt;0,Craft!I21,"")</f>
        <v/>
      </c>
      <c r="P21" s="20">
        <f>IF(N21&gt;0,Craft!H21,"")</f>
        <v/>
      </c>
      <c r="Q21" s="20">
        <f>IF(AND(N21&gt;0,ISNUMBER(P21)),N21*P21,0)</f>
        <v/>
      </c>
    </row>
    <row r="22">
      <c r="A22" t="inlineStr">
        <is>
          <t>T6.4</t>
        </is>
      </c>
      <c r="B22" s="19">
        <f>Refino!Q19</f>
        <v/>
      </c>
      <c r="C22">
        <f>IF(B22&gt;0,Refino!J19,"")</f>
        <v/>
      </c>
      <c r="D22" s="20">
        <f>IF(B22&gt;0,Refino!I19,"")</f>
        <v/>
      </c>
      <c r="E22" s="20">
        <f>Refino!T19</f>
        <v/>
      </c>
      <c r="G22" t="inlineStr">
        <is>
          <t>T6.4</t>
        </is>
      </c>
      <c r="H22" s="19">
        <f>Refino!S19</f>
        <v/>
      </c>
      <c r="I22">
        <f>IF(H22&gt;0,Refino!V19,"")</f>
        <v/>
      </c>
      <c r="J22" s="20">
        <f>IF(H22&gt;0,Refino!G19,"")</f>
        <v/>
      </c>
      <c r="K22" s="20">
        <f>Refino!U19</f>
        <v/>
      </c>
      <c r="M22">
        <f>IF(Craft!U22&gt;0,Craft!A22&amp;" "&amp;Craft!B22&amp;" "&amp;Craft!C22,"")</f>
        <v/>
      </c>
      <c r="N22" s="20">
        <f>Craft!U22</f>
        <v/>
      </c>
      <c r="O22">
        <f>IF(N22&gt;0,Craft!I22,"")</f>
        <v/>
      </c>
      <c r="P22" s="20">
        <f>IF(N22&gt;0,Craft!H22,"")</f>
        <v/>
      </c>
      <c r="Q22" s="20">
        <f>IF(AND(N22&gt;0,ISNUMBER(P22)),N22*P22,0)</f>
        <v/>
      </c>
    </row>
    <row r="23">
      <c r="A23" t="inlineStr">
        <is>
          <t>T7.0</t>
        </is>
      </c>
      <c r="B23" s="19">
        <f>Refino!Q20</f>
        <v/>
      </c>
      <c r="C23">
        <f>IF(B23&gt;0,Refino!J20,"")</f>
        <v/>
      </c>
      <c r="D23" s="20">
        <f>IF(B23&gt;0,Refino!I20,"")</f>
        <v/>
      </c>
      <c r="E23" s="20">
        <f>Refino!T20</f>
        <v/>
      </c>
      <c r="G23" t="inlineStr">
        <is>
          <t>T7.0</t>
        </is>
      </c>
      <c r="H23" s="19">
        <f>Refino!S20</f>
        <v/>
      </c>
      <c r="I23">
        <f>IF(H23&gt;0,Refino!V20,"")</f>
        <v/>
      </c>
      <c r="J23" s="20">
        <f>IF(H23&gt;0,Refino!G20,"")</f>
        <v/>
      </c>
      <c r="K23" s="20">
        <f>Refino!U20</f>
        <v/>
      </c>
      <c r="M23">
        <f>IF(Craft!U23&gt;0,Craft!A23&amp;" "&amp;Craft!B23&amp;" "&amp;Craft!C23,"")</f>
        <v/>
      </c>
      <c r="N23" s="20">
        <f>Craft!U23</f>
        <v/>
      </c>
      <c r="O23">
        <f>IF(N23&gt;0,Craft!I23,"")</f>
        <v/>
      </c>
      <c r="P23" s="20">
        <f>IF(N23&gt;0,Craft!H23,"")</f>
        <v/>
      </c>
      <c r="Q23" s="20">
        <f>IF(AND(N23&gt;0,ISNUMBER(P23)),N23*P23,0)</f>
        <v/>
      </c>
    </row>
    <row r="24">
      <c r="A24" t="inlineStr">
        <is>
          <t>T7.1</t>
        </is>
      </c>
      <c r="B24" s="19">
        <f>Refino!Q21</f>
        <v/>
      </c>
      <c r="C24">
        <f>IF(B24&gt;0,Refino!J21,"")</f>
        <v/>
      </c>
      <c r="D24" s="20">
        <f>IF(B24&gt;0,Refino!I21,"")</f>
        <v/>
      </c>
      <c r="E24" s="20">
        <f>Refino!T21</f>
        <v/>
      </c>
      <c r="G24" t="inlineStr">
        <is>
          <t>T7.1</t>
        </is>
      </c>
      <c r="H24" s="19">
        <f>Refino!S21</f>
        <v/>
      </c>
      <c r="I24">
        <f>IF(H24&gt;0,Refino!V21,"")</f>
        <v/>
      </c>
      <c r="J24" s="20">
        <f>IF(H24&gt;0,Refino!G21,"")</f>
        <v/>
      </c>
      <c r="K24" s="20">
        <f>Refino!U21</f>
        <v/>
      </c>
      <c r="M24">
        <f>IF(Craft!U24&gt;0,Craft!A24&amp;" "&amp;Craft!B24&amp;" "&amp;Craft!C24,"")</f>
        <v/>
      </c>
      <c r="N24" s="20">
        <f>Craft!U24</f>
        <v/>
      </c>
      <c r="O24">
        <f>IF(N24&gt;0,Craft!I24,"")</f>
        <v/>
      </c>
      <c r="P24" s="20">
        <f>IF(N24&gt;0,Craft!H24,"")</f>
        <v/>
      </c>
      <c r="Q24" s="20">
        <f>IF(AND(N24&gt;0,ISNUMBER(P24)),N24*P24,0)</f>
        <v/>
      </c>
    </row>
    <row r="25">
      <c r="A25" t="inlineStr">
        <is>
          <t>T7.2</t>
        </is>
      </c>
      <c r="B25" s="19">
        <f>Refino!Q22</f>
        <v/>
      </c>
      <c r="C25">
        <f>IF(B25&gt;0,Refino!J22,"")</f>
        <v/>
      </c>
      <c r="D25" s="20">
        <f>IF(B25&gt;0,Refino!I22,"")</f>
        <v/>
      </c>
      <c r="E25" s="20">
        <f>Refino!T22</f>
        <v/>
      </c>
      <c r="G25" t="inlineStr">
        <is>
          <t>T7.2</t>
        </is>
      </c>
      <c r="H25" s="19">
        <f>Refino!S22</f>
        <v/>
      </c>
      <c r="I25">
        <f>IF(H25&gt;0,Refino!V22,"")</f>
        <v/>
      </c>
      <c r="J25" s="20">
        <f>IF(H25&gt;0,Refino!G22,"")</f>
        <v/>
      </c>
      <c r="K25" s="20">
        <f>Refino!U22</f>
        <v/>
      </c>
      <c r="M25">
        <f>IF(Craft!U25&gt;0,Craft!A25&amp;" "&amp;Craft!B25&amp;" "&amp;Craft!C25,"")</f>
        <v/>
      </c>
      <c r="N25" s="20">
        <f>Craft!U25</f>
        <v/>
      </c>
      <c r="O25">
        <f>IF(N25&gt;0,Craft!I25,"")</f>
        <v/>
      </c>
      <c r="P25" s="20">
        <f>IF(N25&gt;0,Craft!H25,"")</f>
        <v/>
      </c>
      <c r="Q25" s="20">
        <f>IF(AND(N25&gt;0,ISNUMBER(P25)),N25*P25,0)</f>
        <v/>
      </c>
    </row>
    <row r="26">
      <c r="A26" t="inlineStr">
        <is>
          <t>T7.3</t>
        </is>
      </c>
      <c r="B26" s="19">
        <f>Refino!Q23</f>
        <v/>
      </c>
      <c r="C26">
        <f>IF(B26&gt;0,Refino!J23,"")</f>
        <v/>
      </c>
      <c r="D26" s="20">
        <f>IF(B26&gt;0,Refino!I23,"")</f>
        <v/>
      </c>
      <c r="E26" s="20">
        <f>Refino!T23</f>
        <v/>
      </c>
      <c r="G26" t="inlineStr">
        <is>
          <t>T7.3</t>
        </is>
      </c>
      <c r="H26" s="19">
        <f>Refino!S23</f>
        <v/>
      </c>
      <c r="I26">
        <f>IF(H26&gt;0,Refino!V23,"")</f>
        <v/>
      </c>
      <c r="J26" s="20">
        <f>IF(H26&gt;0,Refino!G23,"")</f>
        <v/>
      </c>
      <c r="K26" s="20">
        <f>Refino!U23</f>
        <v/>
      </c>
      <c r="M26">
        <f>IF(Craft!U26&gt;0,Craft!A26&amp;" "&amp;Craft!B26&amp;" "&amp;Craft!C26,"")</f>
        <v/>
      </c>
      <c r="N26" s="20">
        <f>Craft!U26</f>
        <v/>
      </c>
      <c r="O26">
        <f>IF(N26&gt;0,Craft!I26,"")</f>
        <v/>
      </c>
      <c r="P26" s="20">
        <f>IF(N26&gt;0,Craft!H26,"")</f>
        <v/>
      </c>
      <c r="Q26" s="20">
        <f>IF(AND(N26&gt;0,ISNUMBER(P26)),N26*P26,0)</f>
        <v/>
      </c>
    </row>
    <row r="27">
      <c r="A27" t="inlineStr">
        <is>
          <t>T7.4</t>
        </is>
      </c>
      <c r="B27" s="19">
        <f>Refino!Q24</f>
        <v/>
      </c>
      <c r="C27">
        <f>IF(B27&gt;0,Refino!J24,"")</f>
        <v/>
      </c>
      <c r="D27" s="20">
        <f>IF(B27&gt;0,Refino!I24,"")</f>
        <v/>
      </c>
      <c r="E27" s="20">
        <f>Refino!T24</f>
        <v/>
      </c>
      <c r="G27" t="inlineStr">
        <is>
          <t>T7.4</t>
        </is>
      </c>
      <c r="H27" s="19">
        <f>Refino!S24</f>
        <v/>
      </c>
      <c r="I27">
        <f>IF(H27&gt;0,Refino!V24,"")</f>
        <v/>
      </c>
      <c r="J27" s="20">
        <f>IF(H27&gt;0,Refino!G24,"")</f>
        <v/>
      </c>
      <c r="K27" s="20">
        <f>Refino!U24</f>
        <v/>
      </c>
      <c r="M27">
        <f>IF(Craft!U27&gt;0,Craft!A27&amp;" "&amp;Craft!B27&amp;" "&amp;Craft!C27,"")</f>
        <v/>
      </c>
      <c r="N27" s="20">
        <f>Craft!U27</f>
        <v/>
      </c>
      <c r="O27">
        <f>IF(N27&gt;0,Craft!I27,"")</f>
        <v/>
      </c>
      <c r="P27" s="20">
        <f>IF(N27&gt;0,Craft!H27,"")</f>
        <v/>
      </c>
      <c r="Q27" s="20">
        <f>IF(AND(N27&gt;0,ISNUMBER(P27)),N27*P27,0)</f>
        <v/>
      </c>
    </row>
    <row r="28">
      <c r="A28" t="inlineStr">
        <is>
          <t>T8.0</t>
        </is>
      </c>
      <c r="B28" s="19">
        <f>Refino!Q25</f>
        <v/>
      </c>
      <c r="C28">
        <f>IF(B28&gt;0,Refino!J25,"")</f>
        <v/>
      </c>
      <c r="D28" s="20">
        <f>IF(B28&gt;0,Refino!I25,"")</f>
        <v/>
      </c>
      <c r="E28" s="20">
        <f>Refino!T25</f>
        <v/>
      </c>
      <c r="G28" t="inlineStr">
        <is>
          <t>T8.0</t>
        </is>
      </c>
      <c r="H28" s="19">
        <f>Refino!S25</f>
        <v/>
      </c>
      <c r="I28">
        <f>IF(H28&gt;0,Refino!V25,"")</f>
        <v/>
      </c>
      <c r="J28" s="20">
        <f>IF(H28&gt;0,Refino!G25,"")</f>
        <v/>
      </c>
      <c r="K28" s="20">
        <f>Refino!U25</f>
        <v/>
      </c>
      <c r="M28">
        <f>IF(Craft!U28&gt;0,Craft!A28&amp;" "&amp;Craft!B28&amp;" "&amp;Craft!C28,"")</f>
        <v/>
      </c>
      <c r="N28" s="20">
        <f>Craft!U28</f>
        <v/>
      </c>
      <c r="O28">
        <f>IF(N28&gt;0,Craft!I28,"")</f>
        <v/>
      </c>
      <c r="P28" s="20">
        <f>IF(N28&gt;0,Craft!H28,"")</f>
        <v/>
      </c>
      <c r="Q28" s="20">
        <f>IF(AND(N28&gt;0,ISNUMBER(P28)),N28*P28,0)</f>
        <v/>
      </c>
    </row>
    <row r="29">
      <c r="A29" t="inlineStr">
        <is>
          <t>T8.1</t>
        </is>
      </c>
      <c r="B29" s="19">
        <f>Refino!Q26</f>
        <v/>
      </c>
      <c r="C29">
        <f>IF(B29&gt;0,Refino!J26,"")</f>
        <v/>
      </c>
      <c r="D29" s="20">
        <f>IF(B29&gt;0,Refino!I26,"")</f>
        <v/>
      </c>
      <c r="E29" s="20">
        <f>Refino!T26</f>
        <v/>
      </c>
      <c r="G29" t="inlineStr">
        <is>
          <t>T8.1</t>
        </is>
      </c>
      <c r="H29" s="19">
        <f>Refino!S26</f>
        <v/>
      </c>
      <c r="I29">
        <f>IF(H29&gt;0,Refino!V26,"")</f>
        <v/>
      </c>
      <c r="J29" s="20">
        <f>IF(H29&gt;0,Refino!G26,"")</f>
        <v/>
      </c>
      <c r="K29" s="20">
        <f>Refino!U26</f>
        <v/>
      </c>
      <c r="M29">
        <f>IF(Craft!U29&gt;0,Craft!A29&amp;" "&amp;Craft!B29&amp;" "&amp;Craft!C29,"")</f>
        <v/>
      </c>
      <c r="N29" s="20">
        <f>Craft!U29</f>
        <v/>
      </c>
      <c r="O29">
        <f>IF(N29&gt;0,Craft!I29,"")</f>
        <v/>
      </c>
      <c r="P29" s="20">
        <f>IF(N29&gt;0,Craft!H29,"")</f>
        <v/>
      </c>
      <c r="Q29" s="20">
        <f>IF(AND(N29&gt;0,ISNUMBER(P29)),N29*P29,0)</f>
        <v/>
      </c>
    </row>
    <row r="30">
      <c r="A30" t="inlineStr">
        <is>
          <t>T8.2</t>
        </is>
      </c>
      <c r="B30" s="19">
        <f>Refino!Q27</f>
        <v/>
      </c>
      <c r="C30">
        <f>IF(B30&gt;0,Refino!J27,"")</f>
        <v/>
      </c>
      <c r="D30" s="20">
        <f>IF(B30&gt;0,Refino!I27,"")</f>
        <v/>
      </c>
      <c r="E30" s="20">
        <f>Refino!T27</f>
        <v/>
      </c>
      <c r="G30" t="inlineStr">
        <is>
          <t>T8.2</t>
        </is>
      </c>
      <c r="H30" s="19">
        <f>Refino!S27</f>
        <v/>
      </c>
      <c r="I30">
        <f>IF(H30&gt;0,Refino!V27,"")</f>
        <v/>
      </c>
      <c r="J30" s="20">
        <f>IF(H30&gt;0,Refino!G27,"")</f>
        <v/>
      </c>
      <c r="K30" s="20">
        <f>Refino!U27</f>
        <v/>
      </c>
      <c r="M30">
        <f>IF(Craft!U30&gt;0,Craft!A30&amp;" "&amp;Craft!B30&amp;" "&amp;Craft!C30,"")</f>
        <v/>
      </c>
      <c r="N30" s="20">
        <f>Craft!U30</f>
        <v/>
      </c>
      <c r="O30">
        <f>IF(N30&gt;0,Craft!I30,"")</f>
        <v/>
      </c>
      <c r="P30" s="20">
        <f>IF(N30&gt;0,Craft!H30,"")</f>
        <v/>
      </c>
      <c r="Q30" s="20">
        <f>IF(AND(N30&gt;0,ISNUMBER(P30)),N30*P30,0)</f>
        <v/>
      </c>
    </row>
    <row r="31">
      <c r="A31" t="inlineStr">
        <is>
          <t>T8.3</t>
        </is>
      </c>
      <c r="B31" s="19">
        <f>Refino!Q28</f>
        <v/>
      </c>
      <c r="C31">
        <f>IF(B31&gt;0,Refino!J28,"")</f>
        <v/>
      </c>
      <c r="D31" s="20">
        <f>IF(B31&gt;0,Refino!I28,"")</f>
        <v/>
      </c>
      <c r="E31" s="20">
        <f>Refino!T28</f>
        <v/>
      </c>
      <c r="G31" t="inlineStr">
        <is>
          <t>T8.3</t>
        </is>
      </c>
      <c r="H31" s="19">
        <f>Refino!S28</f>
        <v/>
      </c>
      <c r="I31">
        <f>IF(H31&gt;0,Refino!V28,"")</f>
        <v/>
      </c>
      <c r="J31" s="20">
        <f>IF(H31&gt;0,Refino!G28,"")</f>
        <v/>
      </c>
      <c r="K31" s="20">
        <f>Refino!U28</f>
        <v/>
      </c>
      <c r="M31">
        <f>IF(Craft!U31&gt;0,Craft!A31&amp;" "&amp;Craft!B31&amp;" "&amp;Craft!C31,"")</f>
        <v/>
      </c>
      <c r="N31" s="20">
        <f>Craft!U31</f>
        <v/>
      </c>
      <c r="O31">
        <f>IF(N31&gt;0,Craft!I31,"")</f>
        <v/>
      </c>
      <c r="P31" s="20">
        <f>IF(N31&gt;0,Craft!H31,"")</f>
        <v/>
      </c>
      <c r="Q31" s="20">
        <f>IF(AND(N31&gt;0,ISNUMBER(P31)),N31*P31,0)</f>
        <v/>
      </c>
    </row>
    <row r="32">
      <c r="A32" t="inlineStr">
        <is>
          <t>T8.4</t>
        </is>
      </c>
      <c r="B32" s="19">
        <f>Refino!Q29</f>
        <v/>
      </c>
      <c r="C32">
        <f>IF(B32&gt;0,Refino!J29,"")</f>
        <v/>
      </c>
      <c r="D32" s="20">
        <f>IF(B32&gt;0,Refino!I29,"")</f>
        <v/>
      </c>
      <c r="E32" s="20">
        <f>Refino!T29</f>
        <v/>
      </c>
      <c r="G32" t="inlineStr">
        <is>
          <t>T8.4</t>
        </is>
      </c>
      <c r="H32" s="19">
        <f>Refino!S29</f>
        <v/>
      </c>
      <c r="I32">
        <f>IF(H32&gt;0,Refino!V29,"")</f>
        <v/>
      </c>
      <c r="J32" s="20">
        <f>IF(H32&gt;0,Refino!G29,"")</f>
        <v/>
      </c>
      <c r="K32" s="20">
        <f>Refino!U29</f>
        <v/>
      </c>
      <c r="M32">
        <f>IF(Craft!U32&gt;0,Craft!A32&amp;" "&amp;Craft!B32&amp;" "&amp;Craft!C32,"")</f>
        <v/>
      </c>
      <c r="N32" s="20">
        <f>Craft!U32</f>
        <v/>
      </c>
      <c r="O32">
        <f>IF(N32&gt;0,Craft!I32,"")</f>
        <v/>
      </c>
      <c r="P32" s="20">
        <f>IF(N32&gt;0,Craft!H32,"")</f>
        <v/>
      </c>
      <c r="Q32" s="20">
        <f>IF(AND(N32&gt;0,ISNUMBER(P32)),N32*P32,0)</f>
        <v/>
      </c>
    </row>
    <row r="33">
      <c r="M33">
        <f>IF(Craft!U33&gt;0,Craft!A33&amp;" "&amp;Craft!B33&amp;" "&amp;Craft!C33,"")</f>
        <v/>
      </c>
      <c r="N33" s="20">
        <f>Craft!U33</f>
        <v/>
      </c>
      <c r="O33">
        <f>IF(N33&gt;0,Craft!I33,"")</f>
        <v/>
      </c>
      <c r="P33" s="20">
        <f>IF(N33&gt;0,Craft!H33,"")</f>
        <v/>
      </c>
      <c r="Q33" s="20">
        <f>IF(AND(N33&gt;0,ISNUMBER(P33)),N33*P33,0)</f>
        <v/>
      </c>
    </row>
    <row r="34">
      <c r="M34">
        <f>IF(Craft!U34&gt;0,Craft!A34&amp;" "&amp;Craft!B34&amp;" "&amp;Craft!C34,"")</f>
        <v/>
      </c>
      <c r="N34" s="20">
        <f>Craft!U34</f>
        <v/>
      </c>
      <c r="O34">
        <f>IF(N34&gt;0,Craft!I34,"")</f>
        <v/>
      </c>
      <c r="P34" s="20">
        <f>IF(N34&gt;0,Craft!H34,"")</f>
        <v/>
      </c>
      <c r="Q34" s="20">
        <f>IF(AND(N34&gt;0,ISNUMBER(P34)),N34*P34,0)</f>
        <v/>
      </c>
    </row>
    <row r="35">
      <c r="M35">
        <f>IF(Craft!U35&gt;0,Craft!A35&amp;" "&amp;Craft!B35&amp;" "&amp;Craft!C35,"")</f>
        <v/>
      </c>
      <c r="N35" s="20">
        <f>Craft!U35</f>
        <v/>
      </c>
      <c r="O35">
        <f>IF(N35&gt;0,Craft!I35,"")</f>
        <v/>
      </c>
      <c r="P35" s="20">
        <f>IF(N35&gt;0,Craft!H35,"")</f>
        <v/>
      </c>
      <c r="Q35" s="20">
        <f>IF(AND(N35&gt;0,ISNUMBER(P35)),N35*P35,0)</f>
        <v/>
      </c>
    </row>
    <row r="37">
      <c r="A37" s="8" t="inlineStr">
        <is>
          <t>Subtotal barras</t>
        </is>
      </c>
      <c r="E37" s="21">
        <f>SUM(E6:E35)</f>
        <v/>
      </c>
      <c r="G37" s="8" t="inlineStr">
        <is>
          <t>Subtotal minério</t>
        </is>
      </c>
      <c r="K37" s="21">
        <f>SUM(K6:K35)</f>
        <v/>
      </c>
      <c r="M37" s="8" t="inlineStr">
        <is>
          <t>Subtotal artefatos</t>
        </is>
      </c>
      <c r="Q37" s="21">
        <f>SUM(Q6:Q35)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7" customWidth="1" min="4" max="4"/>
    <col width="6" customWidth="1" min="5" max="5"/>
    <col width="7" customWidth="1" min="6" max="6"/>
    <col width="8" customWidth="1" min="7" max="7"/>
    <col width="11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3" customWidth="1" min="14" max="14"/>
    <col width="13" customWidth="1" min="15" max="15"/>
    <col width="14" customWidth="1" min="16" max="16"/>
    <col width="14" customWidth="1" min="17" max="17"/>
    <col width="11" customWidth="1" min="18" max="18"/>
    <col width="15" customWidth="1" min="19" max="19"/>
    <col width="11" customWidth="1" min="20" max="20"/>
    <col width="11" customWidth="1" min="21" max="21"/>
    <col width="13" customWidth="1" min="22" max="22"/>
    <col width="14" customWidth="1" min="23" max="23"/>
    <col width="13" customWidth="1" min="24" max="24"/>
    <col width="9" customWidth="1" min="25" max="25"/>
  </cols>
  <sheetData>
    <row r="1">
      <c r="A1" s="1" t="inlineStr">
        <is>
          <t>Preços de venda e lucro de todas as peças de placa</t>
        </is>
      </c>
    </row>
    <row r="2">
      <c r="A2" s="2" t="inlineStr">
        <is>
          <t>Preencha o preço de venda por cidade, Caerleon e Mercado Negro. Use o filtro (setas do cabeçalho) para ordenar por lucro/margem.</t>
        </is>
      </c>
    </row>
    <row r="3" ht="48" customHeight="1">
      <c r="A3" s="3" t="inlineStr">
        <is>
          <t>Chave</t>
        </is>
      </c>
      <c r="B3" s="3" t="inlineStr">
        <is>
          <t>Variante</t>
        </is>
      </c>
      <c r="C3" s="3" t="inlineStr">
        <is>
          <t>Peça</t>
        </is>
      </c>
      <c r="D3" s="3" t="inlineStr">
        <is>
          <t>Tier</t>
        </is>
      </c>
      <c r="E3" s="3" t="inlineStr">
        <is>
          <t>Tier nº</t>
        </is>
      </c>
      <c r="F3" s="3" t="inlineStr">
        <is>
          <t>Encant.</t>
        </is>
      </c>
      <c r="G3" s="3" t="inlineStr">
        <is>
          <t>Qtd barras</t>
        </is>
      </c>
      <c r="H3" s="3" t="inlineStr">
        <is>
          <t>Thetford</t>
        </is>
      </c>
      <c r="I3" s="3" t="inlineStr">
        <is>
          <t>Martlock</t>
        </is>
      </c>
      <c r="J3" s="3" t="inlineStr">
        <is>
          <t>Bridgewatch</t>
        </is>
      </c>
      <c r="K3" s="3" t="inlineStr">
        <is>
          <t>Lymhurst</t>
        </is>
      </c>
      <c r="L3" s="3" t="inlineStr">
        <is>
          <t>Fort Sterling</t>
        </is>
      </c>
      <c r="M3" s="3" t="inlineStr">
        <is>
          <t>Caerleon</t>
        </is>
      </c>
      <c r="N3" s="3" t="inlineStr">
        <is>
          <t>Mercado Negro</t>
        </is>
      </c>
      <c r="O3" s="3" t="inlineStr">
        <is>
          <t>Melhor preço de venda</t>
        </is>
      </c>
      <c r="P3" s="3" t="inlineStr">
        <is>
          <t>Melhor local</t>
        </is>
      </c>
      <c r="Q3" s="3" t="inlineStr">
        <is>
          <t>Custo barras (líq. retorno)</t>
        </is>
      </c>
      <c r="R3" s="3" t="inlineStr">
        <is>
          <t>Artefato</t>
        </is>
      </c>
      <c r="S3" s="3" t="inlineStr">
        <is>
          <t>Cidade do artefato</t>
        </is>
      </c>
      <c r="T3" s="3" t="inlineStr">
        <is>
          <t>Valor do item (IV)</t>
        </is>
      </c>
      <c r="U3" s="3" t="inlineStr">
        <is>
          <t>Taxa do ferreiro</t>
        </is>
      </c>
      <c r="V3" s="3" t="inlineStr">
        <is>
          <t>CUSTO TOTAL</t>
        </is>
      </c>
      <c r="W3" s="3" t="inlineStr">
        <is>
          <t>Receita líquida (após taxa)</t>
        </is>
      </c>
      <c r="X3" s="3" t="inlineStr">
        <is>
          <t>LUCRO por item</t>
        </is>
      </c>
      <c r="Y3" s="3" t="inlineStr">
        <is>
          <t>Margem</t>
        </is>
      </c>
    </row>
    <row r="4">
      <c r="A4" t="inlineStr">
        <is>
          <t>Soldado (Soldier)|Armadura|T4.0</t>
        </is>
      </c>
      <c r="B4" t="inlineStr">
        <is>
          <t>Soldado (Soldier)</t>
        </is>
      </c>
      <c r="C4" t="inlineStr">
        <is>
          <t>Armadura</t>
        </is>
      </c>
      <c r="D4" t="inlineStr">
        <is>
          <t>T4.0</t>
        </is>
      </c>
      <c r="E4" t="n">
        <v>4</v>
      </c>
      <c r="F4" t="n">
        <v>0</v>
      </c>
      <c r="G4" t="n">
        <v>16</v>
      </c>
      <c r="H4" s="22" t="n"/>
      <c r="I4" s="22" t="n"/>
      <c r="J4" s="22" t="n"/>
      <c r="K4" s="22" t="n"/>
      <c r="L4" s="22" t="n"/>
      <c r="M4" s="22" t="n"/>
      <c r="N4" s="22" t="n"/>
      <c r="O4" s="23">
        <f>IF(COUNT(H4:N4)=0,"",MAX(H4:N4))</f>
        <v/>
      </c>
      <c r="P4" s="24">
        <f>IF(O4="","",INDEX($H$3:$N$3,MATCH(O4,H4:N4,0)))</f>
        <v/>
      </c>
      <c r="Q4" s="23">
        <f>IF(Refino!$L$5="","",G4*Refino!$L$5*(1-RetCraft))</f>
        <v/>
      </c>
      <c r="R4" t="n">
        <v>0</v>
      </c>
      <c r="S4" t="inlineStr">
        <is>
          <t>-</t>
        </is>
      </c>
      <c r="T4" s="25">
        <f>G4*Refino!$D$5</f>
        <v/>
      </c>
      <c r="U4" s="25">
        <f>T4*0.1125*FeeCraft/100</f>
        <v/>
      </c>
      <c r="V4" s="23">
        <f>IF(OR(Q4="",R4=""),"",Q4+R4+U4)</f>
        <v/>
      </c>
      <c r="W4" s="23">
        <f>IF(O4="","",O4*(1-TaxaVenda))</f>
        <v/>
      </c>
      <c r="X4" s="26">
        <f>IF(OR(V4="",W4=""),"",W4-V4)</f>
        <v/>
      </c>
      <c r="Y4" s="27">
        <f>IF(X4="","",X4/V4)</f>
        <v/>
      </c>
    </row>
    <row r="5">
      <c r="A5" t="inlineStr">
        <is>
          <t>Soldado (Soldier)|Armadura|T4.1</t>
        </is>
      </c>
      <c r="B5" t="inlineStr">
        <is>
          <t>Soldado (Soldier)</t>
        </is>
      </c>
      <c r="C5" t="inlineStr">
        <is>
          <t>Armadura</t>
        </is>
      </c>
      <c r="D5" t="inlineStr">
        <is>
          <t>T4.1</t>
        </is>
      </c>
      <c r="E5" t="n">
        <v>4</v>
      </c>
      <c r="F5" t="n">
        <v>1</v>
      </c>
      <c r="G5" t="n">
        <v>16</v>
      </c>
      <c r="H5" s="22" t="n"/>
      <c r="I5" s="22" t="n"/>
      <c r="J5" s="22" t="n"/>
      <c r="K5" s="22" t="n"/>
      <c r="L5" s="22" t="n"/>
      <c r="M5" s="22" t="n"/>
      <c r="N5" s="22" t="n"/>
      <c r="O5" s="23">
        <f>IF(COUNT(H5:N5)=0,"",MAX(H5:N5))</f>
        <v/>
      </c>
      <c r="P5" s="24">
        <f>IF(O5="","",INDEX($H$3:$N$3,MATCH(O5,H5:N5,0)))</f>
        <v/>
      </c>
      <c r="Q5" s="23">
        <f>IF(Refino!$L$6="","",G5*Refino!$L$6*(1-RetCraft))</f>
        <v/>
      </c>
      <c r="R5" t="n">
        <v>0</v>
      </c>
      <c r="S5" t="inlineStr">
        <is>
          <t>-</t>
        </is>
      </c>
      <c r="T5" s="25">
        <f>G5*Refino!$D$6</f>
        <v/>
      </c>
      <c r="U5" s="25">
        <f>T5*0.1125*FeeCraft/100</f>
        <v/>
      </c>
      <c r="V5" s="23">
        <f>IF(OR(Q5="",R5=""),"",Q5+R5+U5)</f>
        <v/>
      </c>
      <c r="W5" s="23">
        <f>IF(O5="","",O5*(1-TaxaVenda))</f>
        <v/>
      </c>
      <c r="X5" s="26">
        <f>IF(OR(V5="",W5=""),"",W5-V5)</f>
        <v/>
      </c>
      <c r="Y5" s="27">
        <f>IF(X5="","",X5/V5)</f>
        <v/>
      </c>
    </row>
    <row r="6">
      <c r="A6" t="inlineStr">
        <is>
          <t>Soldado (Soldier)|Armadura|T4.2</t>
        </is>
      </c>
      <c r="B6" t="inlineStr">
        <is>
          <t>Soldado (Soldier)</t>
        </is>
      </c>
      <c r="C6" t="inlineStr">
        <is>
          <t>Armadura</t>
        </is>
      </c>
      <c r="D6" t="inlineStr">
        <is>
          <t>T4.2</t>
        </is>
      </c>
      <c r="E6" t="n">
        <v>4</v>
      </c>
      <c r="F6" t="n">
        <v>2</v>
      </c>
      <c r="G6" t="n">
        <v>16</v>
      </c>
      <c r="H6" s="22" t="n"/>
      <c r="I6" s="22" t="n"/>
      <c r="J6" s="22" t="n"/>
      <c r="K6" s="22" t="n"/>
      <c r="L6" s="22" t="n"/>
      <c r="M6" s="22" t="n"/>
      <c r="N6" s="22" t="n"/>
      <c r="O6" s="23">
        <f>IF(COUNT(H6:N6)=0,"",MAX(H6:N6))</f>
        <v/>
      </c>
      <c r="P6" s="24">
        <f>IF(O6="","",INDEX($H$3:$N$3,MATCH(O6,H6:N6,0)))</f>
        <v/>
      </c>
      <c r="Q6" s="23">
        <f>IF(Refino!$L$7="","",G6*Refino!$L$7*(1-RetCraft))</f>
        <v/>
      </c>
      <c r="R6" t="n">
        <v>0</v>
      </c>
      <c r="S6" t="inlineStr">
        <is>
          <t>-</t>
        </is>
      </c>
      <c r="T6" s="25">
        <f>G6*Refino!$D$7</f>
        <v/>
      </c>
      <c r="U6" s="25">
        <f>T6*0.1125*FeeCraft/100</f>
        <v/>
      </c>
      <c r="V6" s="23">
        <f>IF(OR(Q6="",R6=""),"",Q6+R6+U6)</f>
        <v/>
      </c>
      <c r="W6" s="23">
        <f>IF(O6="","",O6*(1-TaxaVenda))</f>
        <v/>
      </c>
      <c r="X6" s="26">
        <f>IF(OR(V6="",W6=""),"",W6-V6)</f>
        <v/>
      </c>
      <c r="Y6" s="27">
        <f>IF(X6="","",X6/V6)</f>
        <v/>
      </c>
    </row>
    <row r="7">
      <c r="A7" t="inlineStr">
        <is>
          <t>Soldado (Soldier)|Armadura|T4.3</t>
        </is>
      </c>
      <c r="B7" t="inlineStr">
        <is>
          <t>Soldado (Soldier)</t>
        </is>
      </c>
      <c r="C7" t="inlineStr">
        <is>
          <t>Armadura</t>
        </is>
      </c>
      <c r="D7" t="inlineStr">
        <is>
          <t>T4.3</t>
        </is>
      </c>
      <c r="E7" t="n">
        <v>4</v>
      </c>
      <c r="F7" t="n">
        <v>3</v>
      </c>
      <c r="G7" t="n">
        <v>16</v>
      </c>
      <c r="H7" s="22" t="n"/>
      <c r="I7" s="22" t="n"/>
      <c r="J7" s="22" t="n"/>
      <c r="K7" s="22" t="n"/>
      <c r="L7" s="22" t="n"/>
      <c r="M7" s="22" t="n"/>
      <c r="N7" s="22" t="n"/>
      <c r="O7" s="23">
        <f>IF(COUNT(H7:N7)=0,"",MAX(H7:N7))</f>
        <v/>
      </c>
      <c r="P7" s="24">
        <f>IF(O7="","",INDEX($H$3:$N$3,MATCH(O7,H7:N7,0)))</f>
        <v/>
      </c>
      <c r="Q7" s="23">
        <f>IF(Refino!$L$8="","",G7*Refino!$L$8*(1-RetCraft))</f>
        <v/>
      </c>
      <c r="R7" t="n">
        <v>0</v>
      </c>
      <c r="S7" t="inlineStr">
        <is>
          <t>-</t>
        </is>
      </c>
      <c r="T7" s="25">
        <f>G7*Refino!$D$8</f>
        <v/>
      </c>
      <c r="U7" s="25">
        <f>T7*0.1125*FeeCraft/100</f>
        <v/>
      </c>
      <c r="V7" s="23">
        <f>IF(OR(Q7="",R7=""),"",Q7+R7+U7)</f>
        <v/>
      </c>
      <c r="W7" s="23">
        <f>IF(O7="","",O7*(1-TaxaVenda))</f>
        <v/>
      </c>
      <c r="X7" s="26">
        <f>IF(OR(V7="",W7=""),"",W7-V7)</f>
        <v/>
      </c>
      <c r="Y7" s="27">
        <f>IF(X7="","",X7/V7)</f>
        <v/>
      </c>
    </row>
    <row r="8">
      <c r="A8" t="inlineStr">
        <is>
          <t>Soldado (Soldier)|Armadura|T4.4</t>
        </is>
      </c>
      <c r="B8" t="inlineStr">
        <is>
          <t>Soldado (Soldier)</t>
        </is>
      </c>
      <c r="C8" t="inlineStr">
        <is>
          <t>Armadura</t>
        </is>
      </c>
      <c r="D8" t="inlineStr">
        <is>
          <t>T4.4</t>
        </is>
      </c>
      <c r="E8" t="n">
        <v>4</v>
      </c>
      <c r="F8" t="n">
        <v>4</v>
      </c>
      <c r="G8" t="n">
        <v>16</v>
      </c>
      <c r="H8" s="22" t="n"/>
      <c r="I8" s="22" t="n"/>
      <c r="J8" s="22" t="n"/>
      <c r="K8" s="22" t="n"/>
      <c r="L8" s="22" t="n"/>
      <c r="M8" s="22" t="n"/>
      <c r="N8" s="22" t="n"/>
      <c r="O8" s="23">
        <f>IF(COUNT(H8:N8)=0,"",MAX(H8:N8))</f>
        <v/>
      </c>
      <c r="P8" s="24">
        <f>IF(O8="","",INDEX($H$3:$N$3,MATCH(O8,H8:N8,0)))</f>
        <v/>
      </c>
      <c r="Q8" s="23">
        <f>IF(Refino!$L$9="","",G8*Refino!$L$9*(1-RetCraft))</f>
        <v/>
      </c>
      <c r="R8" t="n">
        <v>0</v>
      </c>
      <c r="S8" t="inlineStr">
        <is>
          <t>-</t>
        </is>
      </c>
      <c r="T8" s="25">
        <f>G8*Refino!$D$9</f>
        <v/>
      </c>
      <c r="U8" s="25">
        <f>T8*0.1125*FeeCraft/100</f>
        <v/>
      </c>
      <c r="V8" s="23">
        <f>IF(OR(Q8="",R8=""),"",Q8+R8+U8)</f>
        <v/>
      </c>
      <c r="W8" s="23">
        <f>IF(O8="","",O8*(1-TaxaVenda))</f>
        <v/>
      </c>
      <c r="X8" s="26">
        <f>IF(OR(V8="",W8=""),"",W8-V8)</f>
        <v/>
      </c>
      <c r="Y8" s="27">
        <f>IF(X8="","",X8/V8)</f>
        <v/>
      </c>
    </row>
    <row r="9">
      <c r="A9" t="inlineStr">
        <is>
          <t>Soldado (Soldier)|Armadura|T5.0</t>
        </is>
      </c>
      <c r="B9" t="inlineStr">
        <is>
          <t>Soldado (Soldier)</t>
        </is>
      </c>
      <c r="C9" t="inlineStr">
        <is>
          <t>Armadura</t>
        </is>
      </c>
      <c r="D9" t="inlineStr">
        <is>
          <t>T5.0</t>
        </is>
      </c>
      <c r="E9" t="n">
        <v>5</v>
      </c>
      <c r="F9" t="n">
        <v>0</v>
      </c>
      <c r="G9" t="n">
        <v>16</v>
      </c>
      <c r="H9" s="22" t="n"/>
      <c r="I9" s="22" t="n"/>
      <c r="J9" s="22" t="n"/>
      <c r="K9" s="22" t="n"/>
      <c r="L9" s="22" t="n"/>
      <c r="M9" s="22" t="n"/>
      <c r="N9" s="22" t="n"/>
      <c r="O9" s="23">
        <f>IF(COUNT(H9:N9)=0,"",MAX(H9:N9))</f>
        <v/>
      </c>
      <c r="P9" s="24">
        <f>IF(O9="","",INDEX($H$3:$N$3,MATCH(O9,H9:N9,0)))</f>
        <v/>
      </c>
      <c r="Q9" s="23">
        <f>IF(Refino!$L$10="","",G9*Refino!$L$10*(1-RetCraft))</f>
        <v/>
      </c>
      <c r="R9" t="n">
        <v>0</v>
      </c>
      <c r="S9" t="inlineStr">
        <is>
          <t>-</t>
        </is>
      </c>
      <c r="T9" s="25">
        <f>G9*Refino!$D$10</f>
        <v/>
      </c>
      <c r="U9" s="25">
        <f>T9*0.1125*FeeCraft/100</f>
        <v/>
      </c>
      <c r="V9" s="23">
        <f>IF(OR(Q9="",R9=""),"",Q9+R9+U9)</f>
        <v/>
      </c>
      <c r="W9" s="23">
        <f>IF(O9="","",O9*(1-TaxaVenda))</f>
        <v/>
      </c>
      <c r="X9" s="26">
        <f>IF(OR(V9="",W9=""),"",W9-V9)</f>
        <v/>
      </c>
      <c r="Y9" s="27">
        <f>IF(X9="","",X9/V9)</f>
        <v/>
      </c>
    </row>
    <row r="10">
      <c r="A10" t="inlineStr">
        <is>
          <t>Soldado (Soldier)|Armadura|T5.1</t>
        </is>
      </c>
      <c r="B10" t="inlineStr">
        <is>
          <t>Soldado (Soldier)</t>
        </is>
      </c>
      <c r="C10" t="inlineStr">
        <is>
          <t>Armadura</t>
        </is>
      </c>
      <c r="D10" t="inlineStr">
        <is>
          <t>T5.1</t>
        </is>
      </c>
      <c r="E10" t="n">
        <v>5</v>
      </c>
      <c r="F10" t="n">
        <v>1</v>
      </c>
      <c r="G10" t="n">
        <v>16</v>
      </c>
      <c r="H10" s="22" t="n"/>
      <c r="I10" s="22" t="n"/>
      <c r="J10" s="22" t="n"/>
      <c r="K10" s="22" t="n"/>
      <c r="L10" s="22" t="n"/>
      <c r="M10" s="22" t="n"/>
      <c r="N10" s="22" t="n"/>
      <c r="O10" s="23">
        <f>IF(COUNT(H10:N10)=0,"",MAX(H10:N10))</f>
        <v/>
      </c>
      <c r="P10" s="24">
        <f>IF(O10="","",INDEX($H$3:$N$3,MATCH(O10,H10:N10,0)))</f>
        <v/>
      </c>
      <c r="Q10" s="23">
        <f>IF(Refino!$L$11="","",G10*Refino!$L$11*(1-RetCraft))</f>
        <v/>
      </c>
      <c r="R10" t="n">
        <v>0</v>
      </c>
      <c r="S10" t="inlineStr">
        <is>
          <t>-</t>
        </is>
      </c>
      <c r="T10" s="25">
        <f>G10*Refino!$D$11</f>
        <v/>
      </c>
      <c r="U10" s="25">
        <f>T10*0.1125*FeeCraft/100</f>
        <v/>
      </c>
      <c r="V10" s="23">
        <f>IF(OR(Q10="",R10=""),"",Q10+R10+U10)</f>
        <v/>
      </c>
      <c r="W10" s="23">
        <f>IF(O10="","",O10*(1-TaxaVenda))</f>
        <v/>
      </c>
      <c r="X10" s="26">
        <f>IF(OR(V10="",W10=""),"",W10-V10)</f>
        <v/>
      </c>
      <c r="Y10" s="27">
        <f>IF(X10="","",X10/V10)</f>
        <v/>
      </c>
    </row>
    <row r="11">
      <c r="A11" t="inlineStr">
        <is>
          <t>Soldado (Soldier)|Armadura|T5.2</t>
        </is>
      </c>
      <c r="B11" t="inlineStr">
        <is>
          <t>Soldado (Soldier)</t>
        </is>
      </c>
      <c r="C11" t="inlineStr">
        <is>
          <t>Armadura</t>
        </is>
      </c>
      <c r="D11" t="inlineStr">
        <is>
          <t>T5.2</t>
        </is>
      </c>
      <c r="E11" t="n">
        <v>5</v>
      </c>
      <c r="F11" t="n">
        <v>2</v>
      </c>
      <c r="G11" t="n">
        <v>16</v>
      </c>
      <c r="H11" s="22" t="n"/>
      <c r="I11" s="22" t="n"/>
      <c r="J11" s="22" t="n"/>
      <c r="K11" s="22" t="n"/>
      <c r="L11" s="22" t="n"/>
      <c r="M11" s="22" t="n"/>
      <c r="N11" s="22" t="n"/>
      <c r="O11" s="23">
        <f>IF(COUNT(H11:N11)=0,"",MAX(H11:N11))</f>
        <v/>
      </c>
      <c r="P11" s="24">
        <f>IF(O11="","",INDEX($H$3:$N$3,MATCH(O11,H11:N11,0)))</f>
        <v/>
      </c>
      <c r="Q11" s="23">
        <f>IF(Refino!$L$12="","",G11*Refino!$L$12*(1-RetCraft))</f>
        <v/>
      </c>
      <c r="R11" t="n">
        <v>0</v>
      </c>
      <c r="S11" t="inlineStr">
        <is>
          <t>-</t>
        </is>
      </c>
      <c r="T11" s="25">
        <f>G11*Refino!$D$12</f>
        <v/>
      </c>
      <c r="U11" s="25">
        <f>T11*0.1125*FeeCraft/100</f>
        <v/>
      </c>
      <c r="V11" s="23">
        <f>IF(OR(Q11="",R11=""),"",Q11+R11+U11)</f>
        <v/>
      </c>
      <c r="W11" s="23">
        <f>IF(O11="","",O11*(1-TaxaVenda))</f>
        <v/>
      </c>
      <c r="X11" s="26">
        <f>IF(OR(V11="",W11=""),"",W11-V11)</f>
        <v/>
      </c>
      <c r="Y11" s="27">
        <f>IF(X11="","",X11/V11)</f>
        <v/>
      </c>
    </row>
    <row r="12">
      <c r="A12" t="inlineStr">
        <is>
          <t>Soldado (Soldier)|Armadura|T5.3</t>
        </is>
      </c>
      <c r="B12" t="inlineStr">
        <is>
          <t>Soldado (Soldier)</t>
        </is>
      </c>
      <c r="C12" t="inlineStr">
        <is>
          <t>Armadura</t>
        </is>
      </c>
      <c r="D12" t="inlineStr">
        <is>
          <t>T5.3</t>
        </is>
      </c>
      <c r="E12" t="n">
        <v>5</v>
      </c>
      <c r="F12" t="n">
        <v>3</v>
      </c>
      <c r="G12" t="n">
        <v>16</v>
      </c>
      <c r="H12" s="22" t="n"/>
      <c r="I12" s="22" t="n"/>
      <c r="J12" s="22" t="n"/>
      <c r="K12" s="22" t="n"/>
      <c r="L12" s="22" t="n"/>
      <c r="M12" s="22" t="n"/>
      <c r="N12" s="22" t="n"/>
      <c r="O12" s="23">
        <f>IF(COUNT(H12:N12)=0,"",MAX(H12:N12))</f>
        <v/>
      </c>
      <c r="P12" s="24">
        <f>IF(O12="","",INDEX($H$3:$N$3,MATCH(O12,H12:N12,0)))</f>
        <v/>
      </c>
      <c r="Q12" s="23">
        <f>IF(Refino!$L$13="","",G12*Refino!$L$13*(1-RetCraft))</f>
        <v/>
      </c>
      <c r="R12" t="n">
        <v>0</v>
      </c>
      <c r="S12" t="inlineStr">
        <is>
          <t>-</t>
        </is>
      </c>
      <c r="T12" s="25">
        <f>G12*Refino!$D$13</f>
        <v/>
      </c>
      <c r="U12" s="25">
        <f>T12*0.1125*FeeCraft/100</f>
        <v/>
      </c>
      <c r="V12" s="23">
        <f>IF(OR(Q12="",R12=""),"",Q12+R12+U12)</f>
        <v/>
      </c>
      <c r="W12" s="23">
        <f>IF(O12="","",O12*(1-TaxaVenda))</f>
        <v/>
      </c>
      <c r="X12" s="26">
        <f>IF(OR(V12="",W12=""),"",W12-V12)</f>
        <v/>
      </c>
      <c r="Y12" s="27">
        <f>IF(X12="","",X12/V12)</f>
        <v/>
      </c>
    </row>
    <row r="13">
      <c r="A13" t="inlineStr">
        <is>
          <t>Soldado (Soldier)|Armadura|T5.4</t>
        </is>
      </c>
      <c r="B13" t="inlineStr">
        <is>
          <t>Soldado (Soldier)</t>
        </is>
      </c>
      <c r="C13" t="inlineStr">
        <is>
          <t>Armadura</t>
        </is>
      </c>
      <c r="D13" t="inlineStr">
        <is>
          <t>T5.4</t>
        </is>
      </c>
      <c r="E13" t="n">
        <v>5</v>
      </c>
      <c r="F13" t="n">
        <v>4</v>
      </c>
      <c r="G13" t="n">
        <v>16</v>
      </c>
      <c r="H13" s="22" t="n"/>
      <c r="I13" s="22" t="n"/>
      <c r="J13" s="22" t="n"/>
      <c r="K13" s="22" t="n"/>
      <c r="L13" s="22" t="n"/>
      <c r="M13" s="22" t="n"/>
      <c r="N13" s="22" t="n"/>
      <c r="O13" s="23">
        <f>IF(COUNT(H13:N13)=0,"",MAX(H13:N13))</f>
        <v/>
      </c>
      <c r="P13" s="24">
        <f>IF(O13="","",INDEX($H$3:$N$3,MATCH(O13,H13:N13,0)))</f>
        <v/>
      </c>
      <c r="Q13" s="23">
        <f>IF(Refino!$L$14="","",G13*Refino!$L$14*(1-RetCraft))</f>
        <v/>
      </c>
      <c r="R13" t="n">
        <v>0</v>
      </c>
      <c r="S13" t="inlineStr">
        <is>
          <t>-</t>
        </is>
      </c>
      <c r="T13" s="25">
        <f>G13*Refino!$D$14</f>
        <v/>
      </c>
      <c r="U13" s="25">
        <f>T13*0.1125*FeeCraft/100</f>
        <v/>
      </c>
      <c r="V13" s="23">
        <f>IF(OR(Q13="",R13=""),"",Q13+R13+U13)</f>
        <v/>
      </c>
      <c r="W13" s="23">
        <f>IF(O13="","",O13*(1-TaxaVenda))</f>
        <v/>
      </c>
      <c r="X13" s="26">
        <f>IF(OR(V13="",W13=""),"",W13-V13)</f>
        <v/>
      </c>
      <c r="Y13" s="27">
        <f>IF(X13="","",X13/V13)</f>
        <v/>
      </c>
    </row>
    <row r="14">
      <c r="A14" t="inlineStr">
        <is>
          <t>Soldado (Soldier)|Armadura|T6.0</t>
        </is>
      </c>
      <c r="B14" t="inlineStr">
        <is>
          <t>Soldado (Soldier)</t>
        </is>
      </c>
      <c r="C14" t="inlineStr">
        <is>
          <t>Armadura</t>
        </is>
      </c>
      <c r="D14" t="inlineStr">
        <is>
          <t>T6.0</t>
        </is>
      </c>
      <c r="E14" t="n">
        <v>6</v>
      </c>
      <c r="F14" t="n">
        <v>0</v>
      </c>
      <c r="G14" t="n">
        <v>16</v>
      </c>
      <c r="H14" s="22" t="n"/>
      <c r="I14" s="22" t="n"/>
      <c r="J14" s="22" t="n"/>
      <c r="K14" s="22" t="n"/>
      <c r="L14" s="22" t="n"/>
      <c r="M14" s="22" t="n"/>
      <c r="N14" s="22" t="n"/>
      <c r="O14" s="23">
        <f>IF(COUNT(H14:N14)=0,"",MAX(H14:N14))</f>
        <v/>
      </c>
      <c r="P14" s="24">
        <f>IF(O14="","",INDEX($H$3:$N$3,MATCH(O14,H14:N14,0)))</f>
        <v/>
      </c>
      <c r="Q14" s="23">
        <f>IF(Refino!$L$15="","",G14*Refino!$L$15*(1-RetCraft))</f>
        <v/>
      </c>
      <c r="R14" t="n">
        <v>0</v>
      </c>
      <c r="S14" t="inlineStr">
        <is>
          <t>-</t>
        </is>
      </c>
      <c r="T14" s="25">
        <f>G14*Refino!$D$15</f>
        <v/>
      </c>
      <c r="U14" s="25">
        <f>T14*0.1125*FeeCraft/100</f>
        <v/>
      </c>
      <c r="V14" s="23">
        <f>IF(OR(Q14="",R14=""),"",Q14+R14+U14)</f>
        <v/>
      </c>
      <c r="W14" s="23">
        <f>IF(O14="","",O14*(1-TaxaVenda))</f>
        <v/>
      </c>
      <c r="X14" s="26">
        <f>IF(OR(V14="",W14=""),"",W14-V14)</f>
        <v/>
      </c>
      <c r="Y14" s="27">
        <f>IF(X14="","",X14/V14)</f>
        <v/>
      </c>
    </row>
    <row r="15">
      <c r="A15" t="inlineStr">
        <is>
          <t>Soldado (Soldier)|Armadura|T6.1</t>
        </is>
      </c>
      <c r="B15" t="inlineStr">
        <is>
          <t>Soldado (Soldier)</t>
        </is>
      </c>
      <c r="C15" t="inlineStr">
        <is>
          <t>Armadura</t>
        </is>
      </c>
      <c r="D15" t="inlineStr">
        <is>
          <t>T6.1</t>
        </is>
      </c>
      <c r="E15" t="n">
        <v>6</v>
      </c>
      <c r="F15" t="n">
        <v>1</v>
      </c>
      <c r="G15" t="n">
        <v>16</v>
      </c>
      <c r="H15" s="22" t="n"/>
      <c r="I15" s="22" t="n"/>
      <c r="J15" s="22" t="n"/>
      <c r="K15" s="22" t="n"/>
      <c r="L15" s="22" t="n"/>
      <c r="M15" s="22" t="n"/>
      <c r="N15" s="22" t="n"/>
      <c r="O15" s="23">
        <f>IF(COUNT(H15:N15)=0,"",MAX(H15:N15))</f>
        <v/>
      </c>
      <c r="P15" s="24">
        <f>IF(O15="","",INDEX($H$3:$N$3,MATCH(O15,H15:N15,0)))</f>
        <v/>
      </c>
      <c r="Q15" s="23">
        <f>IF(Refino!$L$16="","",G15*Refino!$L$16*(1-RetCraft))</f>
        <v/>
      </c>
      <c r="R15" t="n">
        <v>0</v>
      </c>
      <c r="S15" t="inlineStr">
        <is>
          <t>-</t>
        </is>
      </c>
      <c r="T15" s="25">
        <f>G15*Refino!$D$16</f>
        <v/>
      </c>
      <c r="U15" s="25">
        <f>T15*0.1125*FeeCraft/100</f>
        <v/>
      </c>
      <c r="V15" s="23">
        <f>IF(OR(Q15="",R15=""),"",Q15+R15+U15)</f>
        <v/>
      </c>
      <c r="W15" s="23">
        <f>IF(O15="","",O15*(1-TaxaVenda))</f>
        <v/>
      </c>
      <c r="X15" s="26">
        <f>IF(OR(V15="",W15=""),"",W15-V15)</f>
        <v/>
      </c>
      <c r="Y15" s="27">
        <f>IF(X15="","",X15/V15)</f>
        <v/>
      </c>
    </row>
    <row r="16">
      <c r="A16" t="inlineStr">
        <is>
          <t>Soldado (Soldier)|Armadura|T6.2</t>
        </is>
      </c>
      <c r="B16" t="inlineStr">
        <is>
          <t>Soldado (Soldier)</t>
        </is>
      </c>
      <c r="C16" t="inlineStr">
        <is>
          <t>Armadura</t>
        </is>
      </c>
      <c r="D16" t="inlineStr">
        <is>
          <t>T6.2</t>
        </is>
      </c>
      <c r="E16" t="n">
        <v>6</v>
      </c>
      <c r="F16" t="n">
        <v>2</v>
      </c>
      <c r="G16" t="n">
        <v>16</v>
      </c>
      <c r="H16" s="22" t="n"/>
      <c r="I16" s="22" t="n"/>
      <c r="J16" s="22" t="n"/>
      <c r="K16" s="22" t="n"/>
      <c r="L16" s="22" t="n"/>
      <c r="M16" s="22" t="n"/>
      <c r="N16" s="22" t="n"/>
      <c r="O16" s="23">
        <f>IF(COUNT(H16:N16)=0,"",MAX(H16:N16))</f>
        <v/>
      </c>
      <c r="P16" s="24">
        <f>IF(O16="","",INDEX($H$3:$N$3,MATCH(O16,H16:N16,0)))</f>
        <v/>
      </c>
      <c r="Q16" s="23">
        <f>IF(Refino!$L$17="","",G16*Refino!$L$17*(1-RetCraft))</f>
        <v/>
      </c>
      <c r="R16" t="n">
        <v>0</v>
      </c>
      <c r="S16" t="inlineStr">
        <is>
          <t>-</t>
        </is>
      </c>
      <c r="T16" s="25">
        <f>G16*Refino!$D$17</f>
        <v/>
      </c>
      <c r="U16" s="25">
        <f>T16*0.1125*FeeCraft/100</f>
        <v/>
      </c>
      <c r="V16" s="23">
        <f>IF(OR(Q16="",R16=""),"",Q16+R16+U16)</f>
        <v/>
      </c>
      <c r="W16" s="23">
        <f>IF(O16="","",O16*(1-TaxaVenda))</f>
        <v/>
      </c>
      <c r="X16" s="26">
        <f>IF(OR(V16="",W16=""),"",W16-V16)</f>
        <v/>
      </c>
      <c r="Y16" s="27">
        <f>IF(X16="","",X16/V16)</f>
        <v/>
      </c>
    </row>
    <row r="17">
      <c r="A17" t="inlineStr">
        <is>
          <t>Soldado (Soldier)|Armadura|T6.3</t>
        </is>
      </c>
      <c r="B17" t="inlineStr">
        <is>
          <t>Soldado (Soldier)</t>
        </is>
      </c>
      <c r="C17" t="inlineStr">
        <is>
          <t>Armadura</t>
        </is>
      </c>
      <c r="D17" t="inlineStr">
        <is>
          <t>T6.3</t>
        </is>
      </c>
      <c r="E17" t="n">
        <v>6</v>
      </c>
      <c r="F17" t="n">
        <v>3</v>
      </c>
      <c r="G17" t="n">
        <v>16</v>
      </c>
      <c r="H17" s="22" t="n"/>
      <c r="I17" s="22" t="n"/>
      <c r="J17" s="22" t="n"/>
      <c r="K17" s="22" t="n"/>
      <c r="L17" s="22" t="n"/>
      <c r="M17" s="22" t="n"/>
      <c r="N17" s="22" t="n"/>
      <c r="O17" s="23">
        <f>IF(COUNT(H17:N17)=0,"",MAX(H17:N17))</f>
        <v/>
      </c>
      <c r="P17" s="24">
        <f>IF(O17="","",INDEX($H$3:$N$3,MATCH(O17,H17:N17,0)))</f>
        <v/>
      </c>
      <c r="Q17" s="23">
        <f>IF(Refino!$L$18="","",G17*Refino!$L$18*(1-RetCraft))</f>
        <v/>
      </c>
      <c r="R17" t="n">
        <v>0</v>
      </c>
      <c r="S17" t="inlineStr">
        <is>
          <t>-</t>
        </is>
      </c>
      <c r="T17" s="25">
        <f>G17*Refino!$D$18</f>
        <v/>
      </c>
      <c r="U17" s="25">
        <f>T17*0.1125*FeeCraft/100</f>
        <v/>
      </c>
      <c r="V17" s="23">
        <f>IF(OR(Q17="",R17=""),"",Q17+R17+U17)</f>
        <v/>
      </c>
      <c r="W17" s="23">
        <f>IF(O17="","",O17*(1-TaxaVenda))</f>
        <v/>
      </c>
      <c r="X17" s="26">
        <f>IF(OR(V17="",W17=""),"",W17-V17)</f>
        <v/>
      </c>
      <c r="Y17" s="27">
        <f>IF(X17="","",X17/V17)</f>
        <v/>
      </c>
    </row>
    <row r="18">
      <c r="A18" t="inlineStr">
        <is>
          <t>Soldado (Soldier)|Armadura|T6.4</t>
        </is>
      </c>
      <c r="B18" t="inlineStr">
        <is>
          <t>Soldado (Soldier)</t>
        </is>
      </c>
      <c r="C18" t="inlineStr">
        <is>
          <t>Armadura</t>
        </is>
      </c>
      <c r="D18" t="inlineStr">
        <is>
          <t>T6.4</t>
        </is>
      </c>
      <c r="E18" t="n">
        <v>6</v>
      </c>
      <c r="F18" t="n">
        <v>4</v>
      </c>
      <c r="G18" t="n">
        <v>16</v>
      </c>
      <c r="H18" s="22" t="n"/>
      <c r="I18" s="22" t="n"/>
      <c r="J18" s="22" t="n"/>
      <c r="K18" s="22" t="n"/>
      <c r="L18" s="22" t="n"/>
      <c r="M18" s="22" t="n"/>
      <c r="N18" s="22" t="n"/>
      <c r="O18" s="23">
        <f>IF(COUNT(H18:N18)=0,"",MAX(H18:N18))</f>
        <v/>
      </c>
      <c r="P18" s="24">
        <f>IF(O18="","",INDEX($H$3:$N$3,MATCH(O18,H18:N18,0)))</f>
        <v/>
      </c>
      <c r="Q18" s="23">
        <f>IF(Refino!$L$19="","",G18*Refino!$L$19*(1-RetCraft))</f>
        <v/>
      </c>
      <c r="R18" t="n">
        <v>0</v>
      </c>
      <c r="S18" t="inlineStr">
        <is>
          <t>-</t>
        </is>
      </c>
      <c r="T18" s="25">
        <f>G18*Refino!$D$19</f>
        <v/>
      </c>
      <c r="U18" s="25">
        <f>T18*0.1125*FeeCraft/100</f>
        <v/>
      </c>
      <c r="V18" s="23">
        <f>IF(OR(Q18="",R18=""),"",Q18+R18+U18)</f>
        <v/>
      </c>
      <c r="W18" s="23">
        <f>IF(O18="","",O18*(1-TaxaVenda))</f>
        <v/>
      </c>
      <c r="X18" s="26">
        <f>IF(OR(V18="",W18=""),"",W18-V18)</f>
        <v/>
      </c>
      <c r="Y18" s="27">
        <f>IF(X18="","",X18/V18)</f>
        <v/>
      </c>
    </row>
    <row r="19">
      <c r="A19" t="inlineStr">
        <is>
          <t>Soldado (Soldier)|Armadura|T7.0</t>
        </is>
      </c>
      <c r="B19" t="inlineStr">
        <is>
          <t>Soldado (Soldier)</t>
        </is>
      </c>
      <c r="C19" t="inlineStr">
        <is>
          <t>Armadura</t>
        </is>
      </c>
      <c r="D19" t="inlineStr">
        <is>
          <t>T7.0</t>
        </is>
      </c>
      <c r="E19" t="n">
        <v>7</v>
      </c>
      <c r="F19" t="n">
        <v>0</v>
      </c>
      <c r="G19" t="n">
        <v>16</v>
      </c>
      <c r="H19" s="22" t="n"/>
      <c r="I19" s="22" t="n"/>
      <c r="J19" s="22" t="n"/>
      <c r="K19" s="22" t="n"/>
      <c r="L19" s="22" t="n"/>
      <c r="M19" s="22" t="n"/>
      <c r="N19" s="22" t="n"/>
      <c r="O19" s="23">
        <f>IF(COUNT(H19:N19)=0,"",MAX(H19:N19))</f>
        <v/>
      </c>
      <c r="P19" s="24">
        <f>IF(O19="","",INDEX($H$3:$N$3,MATCH(O19,H19:N19,0)))</f>
        <v/>
      </c>
      <c r="Q19" s="23">
        <f>IF(Refino!$L$20="","",G19*Refino!$L$20*(1-RetCraft))</f>
        <v/>
      </c>
      <c r="R19" t="n">
        <v>0</v>
      </c>
      <c r="S19" t="inlineStr">
        <is>
          <t>-</t>
        </is>
      </c>
      <c r="T19" s="25">
        <f>G19*Refino!$D$20</f>
        <v/>
      </c>
      <c r="U19" s="25">
        <f>T19*0.1125*FeeCraft/100</f>
        <v/>
      </c>
      <c r="V19" s="23">
        <f>IF(OR(Q19="",R19=""),"",Q19+R19+U19)</f>
        <v/>
      </c>
      <c r="W19" s="23">
        <f>IF(O19="","",O19*(1-TaxaVenda))</f>
        <v/>
      </c>
      <c r="X19" s="26">
        <f>IF(OR(V19="",W19=""),"",W19-V19)</f>
        <v/>
      </c>
      <c r="Y19" s="27">
        <f>IF(X19="","",X19/V19)</f>
        <v/>
      </c>
    </row>
    <row r="20">
      <c r="A20" t="inlineStr">
        <is>
          <t>Soldado (Soldier)|Armadura|T7.1</t>
        </is>
      </c>
      <c r="B20" t="inlineStr">
        <is>
          <t>Soldado (Soldier)</t>
        </is>
      </c>
      <c r="C20" t="inlineStr">
        <is>
          <t>Armadura</t>
        </is>
      </c>
      <c r="D20" t="inlineStr">
        <is>
          <t>T7.1</t>
        </is>
      </c>
      <c r="E20" t="n">
        <v>7</v>
      </c>
      <c r="F20" t="n">
        <v>1</v>
      </c>
      <c r="G20" t="n">
        <v>16</v>
      </c>
      <c r="H20" s="22" t="n"/>
      <c r="I20" s="22" t="n"/>
      <c r="J20" s="22" t="n"/>
      <c r="K20" s="22" t="n"/>
      <c r="L20" s="22" t="n"/>
      <c r="M20" s="22" t="n"/>
      <c r="N20" s="22" t="n"/>
      <c r="O20" s="23">
        <f>IF(COUNT(H20:N20)=0,"",MAX(H20:N20))</f>
        <v/>
      </c>
      <c r="P20" s="24">
        <f>IF(O20="","",INDEX($H$3:$N$3,MATCH(O20,H20:N20,0)))</f>
        <v/>
      </c>
      <c r="Q20" s="23">
        <f>IF(Refino!$L$21="","",G20*Refino!$L$21*(1-RetCraft))</f>
        <v/>
      </c>
      <c r="R20" t="n">
        <v>0</v>
      </c>
      <c r="S20" t="inlineStr">
        <is>
          <t>-</t>
        </is>
      </c>
      <c r="T20" s="25">
        <f>G20*Refino!$D$21</f>
        <v/>
      </c>
      <c r="U20" s="25">
        <f>T20*0.1125*FeeCraft/100</f>
        <v/>
      </c>
      <c r="V20" s="23">
        <f>IF(OR(Q20="",R20=""),"",Q20+R20+U20)</f>
        <v/>
      </c>
      <c r="W20" s="23">
        <f>IF(O20="","",O20*(1-TaxaVenda))</f>
        <v/>
      </c>
      <c r="X20" s="26">
        <f>IF(OR(V20="",W20=""),"",W20-V20)</f>
        <v/>
      </c>
      <c r="Y20" s="27">
        <f>IF(X20="","",X20/V20)</f>
        <v/>
      </c>
    </row>
    <row r="21">
      <c r="A21" t="inlineStr">
        <is>
          <t>Soldado (Soldier)|Armadura|T7.2</t>
        </is>
      </c>
      <c r="B21" t="inlineStr">
        <is>
          <t>Soldado (Soldier)</t>
        </is>
      </c>
      <c r="C21" t="inlineStr">
        <is>
          <t>Armadura</t>
        </is>
      </c>
      <c r="D21" t="inlineStr">
        <is>
          <t>T7.2</t>
        </is>
      </c>
      <c r="E21" t="n">
        <v>7</v>
      </c>
      <c r="F21" t="n">
        <v>2</v>
      </c>
      <c r="G21" t="n">
        <v>16</v>
      </c>
      <c r="H21" s="22" t="n"/>
      <c r="I21" s="22" t="n"/>
      <c r="J21" s="22" t="n"/>
      <c r="K21" s="22" t="n"/>
      <c r="L21" s="22" t="n"/>
      <c r="M21" s="22" t="n"/>
      <c r="N21" s="22" t="n"/>
      <c r="O21" s="23">
        <f>IF(COUNT(H21:N21)=0,"",MAX(H21:N21))</f>
        <v/>
      </c>
      <c r="P21" s="24">
        <f>IF(O21="","",INDEX($H$3:$N$3,MATCH(O21,H21:N21,0)))</f>
        <v/>
      </c>
      <c r="Q21" s="23">
        <f>IF(Refino!$L$22="","",G21*Refino!$L$22*(1-RetCraft))</f>
        <v/>
      </c>
      <c r="R21" t="n">
        <v>0</v>
      </c>
      <c r="S21" t="inlineStr">
        <is>
          <t>-</t>
        </is>
      </c>
      <c r="T21" s="25">
        <f>G21*Refino!$D$22</f>
        <v/>
      </c>
      <c r="U21" s="25">
        <f>T21*0.1125*FeeCraft/100</f>
        <v/>
      </c>
      <c r="V21" s="23">
        <f>IF(OR(Q21="",R21=""),"",Q21+R21+U21)</f>
        <v/>
      </c>
      <c r="W21" s="23">
        <f>IF(O21="","",O21*(1-TaxaVenda))</f>
        <v/>
      </c>
      <c r="X21" s="26">
        <f>IF(OR(V21="",W21=""),"",W21-V21)</f>
        <v/>
      </c>
      <c r="Y21" s="27">
        <f>IF(X21="","",X21/V21)</f>
        <v/>
      </c>
    </row>
    <row r="22">
      <c r="A22" t="inlineStr">
        <is>
          <t>Soldado (Soldier)|Armadura|T7.3</t>
        </is>
      </c>
      <c r="B22" t="inlineStr">
        <is>
          <t>Soldado (Soldier)</t>
        </is>
      </c>
      <c r="C22" t="inlineStr">
        <is>
          <t>Armadura</t>
        </is>
      </c>
      <c r="D22" t="inlineStr">
        <is>
          <t>T7.3</t>
        </is>
      </c>
      <c r="E22" t="n">
        <v>7</v>
      </c>
      <c r="F22" t="n">
        <v>3</v>
      </c>
      <c r="G22" t="n">
        <v>16</v>
      </c>
      <c r="H22" s="22" t="n"/>
      <c r="I22" s="22" t="n"/>
      <c r="J22" s="22" t="n"/>
      <c r="K22" s="22" t="n"/>
      <c r="L22" s="22" t="n"/>
      <c r="M22" s="22" t="n"/>
      <c r="N22" s="22" t="n"/>
      <c r="O22" s="23">
        <f>IF(COUNT(H22:N22)=0,"",MAX(H22:N22))</f>
        <v/>
      </c>
      <c r="P22" s="24">
        <f>IF(O22="","",INDEX($H$3:$N$3,MATCH(O22,H22:N22,0)))</f>
        <v/>
      </c>
      <c r="Q22" s="23">
        <f>IF(Refino!$L$23="","",G22*Refino!$L$23*(1-RetCraft))</f>
        <v/>
      </c>
      <c r="R22" t="n">
        <v>0</v>
      </c>
      <c r="S22" t="inlineStr">
        <is>
          <t>-</t>
        </is>
      </c>
      <c r="T22" s="25">
        <f>G22*Refino!$D$23</f>
        <v/>
      </c>
      <c r="U22" s="25">
        <f>T22*0.1125*FeeCraft/100</f>
        <v/>
      </c>
      <c r="V22" s="23">
        <f>IF(OR(Q22="",R22=""),"",Q22+R22+U22)</f>
        <v/>
      </c>
      <c r="W22" s="23">
        <f>IF(O22="","",O22*(1-TaxaVenda))</f>
        <v/>
      </c>
      <c r="X22" s="26">
        <f>IF(OR(V22="",W22=""),"",W22-V22)</f>
        <v/>
      </c>
      <c r="Y22" s="27">
        <f>IF(X22="","",X22/V22)</f>
        <v/>
      </c>
    </row>
    <row r="23">
      <c r="A23" t="inlineStr">
        <is>
          <t>Soldado (Soldier)|Armadura|T7.4</t>
        </is>
      </c>
      <c r="B23" t="inlineStr">
        <is>
          <t>Soldado (Soldier)</t>
        </is>
      </c>
      <c r="C23" t="inlineStr">
        <is>
          <t>Armadura</t>
        </is>
      </c>
      <c r="D23" t="inlineStr">
        <is>
          <t>T7.4</t>
        </is>
      </c>
      <c r="E23" t="n">
        <v>7</v>
      </c>
      <c r="F23" t="n">
        <v>4</v>
      </c>
      <c r="G23" t="n">
        <v>16</v>
      </c>
      <c r="H23" s="22" t="n"/>
      <c r="I23" s="22" t="n"/>
      <c r="J23" s="22" t="n"/>
      <c r="K23" s="22" t="n"/>
      <c r="L23" s="22" t="n"/>
      <c r="M23" s="22" t="n"/>
      <c r="N23" s="22" t="n"/>
      <c r="O23" s="23">
        <f>IF(COUNT(H23:N23)=0,"",MAX(H23:N23))</f>
        <v/>
      </c>
      <c r="P23" s="24">
        <f>IF(O23="","",INDEX($H$3:$N$3,MATCH(O23,H23:N23,0)))</f>
        <v/>
      </c>
      <c r="Q23" s="23">
        <f>IF(Refino!$L$24="","",G23*Refino!$L$24*(1-RetCraft))</f>
        <v/>
      </c>
      <c r="R23" t="n">
        <v>0</v>
      </c>
      <c r="S23" t="inlineStr">
        <is>
          <t>-</t>
        </is>
      </c>
      <c r="T23" s="25">
        <f>G23*Refino!$D$24</f>
        <v/>
      </c>
      <c r="U23" s="25">
        <f>T23*0.1125*FeeCraft/100</f>
        <v/>
      </c>
      <c r="V23" s="23">
        <f>IF(OR(Q23="",R23=""),"",Q23+R23+U23)</f>
        <v/>
      </c>
      <c r="W23" s="23">
        <f>IF(O23="","",O23*(1-TaxaVenda))</f>
        <v/>
      </c>
      <c r="X23" s="26">
        <f>IF(OR(V23="",W23=""),"",W23-V23)</f>
        <v/>
      </c>
      <c r="Y23" s="27">
        <f>IF(X23="","",X23/V23)</f>
        <v/>
      </c>
    </row>
    <row r="24">
      <c r="A24" t="inlineStr">
        <is>
          <t>Soldado (Soldier)|Armadura|T8.0</t>
        </is>
      </c>
      <c r="B24" t="inlineStr">
        <is>
          <t>Soldado (Soldier)</t>
        </is>
      </c>
      <c r="C24" t="inlineStr">
        <is>
          <t>Armadura</t>
        </is>
      </c>
      <c r="D24" t="inlineStr">
        <is>
          <t>T8.0</t>
        </is>
      </c>
      <c r="E24" t="n">
        <v>8</v>
      </c>
      <c r="F24" t="n">
        <v>0</v>
      </c>
      <c r="G24" t="n">
        <v>16</v>
      </c>
      <c r="H24" s="22" t="n"/>
      <c r="I24" s="22" t="n"/>
      <c r="J24" s="22" t="n"/>
      <c r="K24" s="22" t="n"/>
      <c r="L24" s="22" t="n"/>
      <c r="M24" s="22" t="n"/>
      <c r="N24" s="22" t="n"/>
      <c r="O24" s="23">
        <f>IF(COUNT(H24:N24)=0,"",MAX(H24:N24))</f>
        <v/>
      </c>
      <c r="P24" s="24">
        <f>IF(O24="","",INDEX($H$3:$N$3,MATCH(O24,H24:N24,0)))</f>
        <v/>
      </c>
      <c r="Q24" s="23">
        <f>IF(Refino!$L$25="","",G24*Refino!$L$25*(1-RetCraft))</f>
        <v/>
      </c>
      <c r="R24" t="n">
        <v>0</v>
      </c>
      <c r="S24" t="inlineStr">
        <is>
          <t>-</t>
        </is>
      </c>
      <c r="T24" s="25">
        <f>G24*Refino!$D$25</f>
        <v/>
      </c>
      <c r="U24" s="25">
        <f>T24*0.1125*FeeCraft/100</f>
        <v/>
      </c>
      <c r="V24" s="23">
        <f>IF(OR(Q24="",R24=""),"",Q24+R24+U24)</f>
        <v/>
      </c>
      <c r="W24" s="23">
        <f>IF(O24="","",O24*(1-TaxaVenda))</f>
        <v/>
      </c>
      <c r="X24" s="26">
        <f>IF(OR(V24="",W24=""),"",W24-V24)</f>
        <v/>
      </c>
      <c r="Y24" s="27">
        <f>IF(X24="","",X24/V24)</f>
        <v/>
      </c>
    </row>
    <row r="25">
      <c r="A25" t="inlineStr">
        <is>
          <t>Soldado (Soldier)|Armadura|T8.1</t>
        </is>
      </c>
      <c r="B25" t="inlineStr">
        <is>
          <t>Soldado (Soldier)</t>
        </is>
      </c>
      <c r="C25" t="inlineStr">
        <is>
          <t>Armadura</t>
        </is>
      </c>
      <c r="D25" t="inlineStr">
        <is>
          <t>T8.1</t>
        </is>
      </c>
      <c r="E25" t="n">
        <v>8</v>
      </c>
      <c r="F25" t="n">
        <v>1</v>
      </c>
      <c r="G25" t="n">
        <v>16</v>
      </c>
      <c r="H25" s="22" t="n"/>
      <c r="I25" s="22" t="n"/>
      <c r="J25" s="22" t="n"/>
      <c r="K25" s="22" t="n"/>
      <c r="L25" s="22" t="n"/>
      <c r="M25" s="22" t="n"/>
      <c r="N25" s="22" t="n"/>
      <c r="O25" s="23">
        <f>IF(COUNT(H25:N25)=0,"",MAX(H25:N25))</f>
        <v/>
      </c>
      <c r="P25" s="24">
        <f>IF(O25="","",INDEX($H$3:$N$3,MATCH(O25,H25:N25,0)))</f>
        <v/>
      </c>
      <c r="Q25" s="23">
        <f>IF(Refino!$L$26="","",G25*Refino!$L$26*(1-RetCraft))</f>
        <v/>
      </c>
      <c r="R25" t="n">
        <v>0</v>
      </c>
      <c r="S25" t="inlineStr">
        <is>
          <t>-</t>
        </is>
      </c>
      <c r="T25" s="25">
        <f>G25*Refino!$D$26</f>
        <v/>
      </c>
      <c r="U25" s="25">
        <f>T25*0.1125*FeeCraft/100</f>
        <v/>
      </c>
      <c r="V25" s="23">
        <f>IF(OR(Q25="",R25=""),"",Q25+R25+U25)</f>
        <v/>
      </c>
      <c r="W25" s="23">
        <f>IF(O25="","",O25*(1-TaxaVenda))</f>
        <v/>
      </c>
      <c r="X25" s="26">
        <f>IF(OR(V25="",W25=""),"",W25-V25)</f>
        <v/>
      </c>
      <c r="Y25" s="27">
        <f>IF(X25="","",X25/V25)</f>
        <v/>
      </c>
    </row>
    <row r="26">
      <c r="A26" t="inlineStr">
        <is>
          <t>Soldado (Soldier)|Armadura|T8.2</t>
        </is>
      </c>
      <c r="B26" t="inlineStr">
        <is>
          <t>Soldado (Soldier)</t>
        </is>
      </c>
      <c r="C26" t="inlineStr">
        <is>
          <t>Armadura</t>
        </is>
      </c>
      <c r="D26" t="inlineStr">
        <is>
          <t>T8.2</t>
        </is>
      </c>
      <c r="E26" t="n">
        <v>8</v>
      </c>
      <c r="F26" t="n">
        <v>2</v>
      </c>
      <c r="G26" t="n">
        <v>16</v>
      </c>
      <c r="H26" s="22" t="n"/>
      <c r="I26" s="22" t="n"/>
      <c r="J26" s="22" t="n"/>
      <c r="K26" s="22" t="n"/>
      <c r="L26" s="22" t="n"/>
      <c r="M26" s="22" t="n"/>
      <c r="N26" s="22" t="n"/>
      <c r="O26" s="23">
        <f>IF(COUNT(H26:N26)=0,"",MAX(H26:N26))</f>
        <v/>
      </c>
      <c r="P26" s="24">
        <f>IF(O26="","",INDEX($H$3:$N$3,MATCH(O26,H26:N26,0)))</f>
        <v/>
      </c>
      <c r="Q26" s="23">
        <f>IF(Refino!$L$27="","",G26*Refino!$L$27*(1-RetCraft))</f>
        <v/>
      </c>
      <c r="R26" t="n">
        <v>0</v>
      </c>
      <c r="S26" t="inlineStr">
        <is>
          <t>-</t>
        </is>
      </c>
      <c r="T26" s="25">
        <f>G26*Refino!$D$27</f>
        <v/>
      </c>
      <c r="U26" s="25">
        <f>T26*0.1125*FeeCraft/100</f>
        <v/>
      </c>
      <c r="V26" s="23">
        <f>IF(OR(Q26="",R26=""),"",Q26+R26+U26)</f>
        <v/>
      </c>
      <c r="W26" s="23">
        <f>IF(O26="","",O26*(1-TaxaVenda))</f>
        <v/>
      </c>
      <c r="X26" s="26">
        <f>IF(OR(V26="",W26=""),"",W26-V26)</f>
        <v/>
      </c>
      <c r="Y26" s="27">
        <f>IF(X26="","",X26/V26)</f>
        <v/>
      </c>
    </row>
    <row r="27">
      <c r="A27" t="inlineStr">
        <is>
          <t>Soldado (Soldier)|Armadura|T8.3</t>
        </is>
      </c>
      <c r="B27" t="inlineStr">
        <is>
          <t>Soldado (Soldier)</t>
        </is>
      </c>
      <c r="C27" t="inlineStr">
        <is>
          <t>Armadura</t>
        </is>
      </c>
      <c r="D27" t="inlineStr">
        <is>
          <t>T8.3</t>
        </is>
      </c>
      <c r="E27" t="n">
        <v>8</v>
      </c>
      <c r="F27" t="n">
        <v>3</v>
      </c>
      <c r="G27" t="n">
        <v>16</v>
      </c>
      <c r="H27" s="22" t="n"/>
      <c r="I27" s="22" t="n"/>
      <c r="J27" s="22" t="n"/>
      <c r="K27" s="22" t="n"/>
      <c r="L27" s="22" t="n"/>
      <c r="M27" s="22" t="n"/>
      <c r="N27" s="22" t="n"/>
      <c r="O27" s="23">
        <f>IF(COUNT(H27:N27)=0,"",MAX(H27:N27))</f>
        <v/>
      </c>
      <c r="P27" s="24">
        <f>IF(O27="","",INDEX($H$3:$N$3,MATCH(O27,H27:N27,0)))</f>
        <v/>
      </c>
      <c r="Q27" s="23">
        <f>IF(Refino!$L$28="","",G27*Refino!$L$28*(1-RetCraft))</f>
        <v/>
      </c>
      <c r="R27" t="n">
        <v>0</v>
      </c>
      <c r="S27" t="inlineStr">
        <is>
          <t>-</t>
        </is>
      </c>
      <c r="T27" s="25">
        <f>G27*Refino!$D$28</f>
        <v/>
      </c>
      <c r="U27" s="25">
        <f>T27*0.1125*FeeCraft/100</f>
        <v/>
      </c>
      <c r="V27" s="23">
        <f>IF(OR(Q27="",R27=""),"",Q27+R27+U27)</f>
        <v/>
      </c>
      <c r="W27" s="23">
        <f>IF(O27="","",O27*(1-TaxaVenda))</f>
        <v/>
      </c>
      <c r="X27" s="26">
        <f>IF(OR(V27="",W27=""),"",W27-V27)</f>
        <v/>
      </c>
      <c r="Y27" s="27">
        <f>IF(X27="","",X27/V27)</f>
        <v/>
      </c>
    </row>
    <row r="28">
      <c r="A28" t="inlineStr">
        <is>
          <t>Soldado (Soldier)|Armadura|T8.4</t>
        </is>
      </c>
      <c r="B28" t="inlineStr">
        <is>
          <t>Soldado (Soldier)</t>
        </is>
      </c>
      <c r="C28" t="inlineStr">
        <is>
          <t>Armadura</t>
        </is>
      </c>
      <c r="D28" t="inlineStr">
        <is>
          <t>T8.4</t>
        </is>
      </c>
      <c r="E28" t="n">
        <v>8</v>
      </c>
      <c r="F28" t="n">
        <v>4</v>
      </c>
      <c r="G28" t="n">
        <v>16</v>
      </c>
      <c r="H28" s="22" t="n"/>
      <c r="I28" s="22" t="n"/>
      <c r="J28" s="22" t="n"/>
      <c r="K28" s="22" t="n"/>
      <c r="L28" s="22" t="n"/>
      <c r="M28" s="22" t="n"/>
      <c r="N28" s="22" t="n"/>
      <c r="O28" s="23">
        <f>IF(COUNT(H28:N28)=0,"",MAX(H28:N28))</f>
        <v/>
      </c>
      <c r="P28" s="24">
        <f>IF(O28="","",INDEX($H$3:$N$3,MATCH(O28,H28:N28,0)))</f>
        <v/>
      </c>
      <c r="Q28" s="23">
        <f>IF(Refino!$L$29="","",G28*Refino!$L$29*(1-RetCraft))</f>
        <v/>
      </c>
      <c r="R28" t="n">
        <v>0</v>
      </c>
      <c r="S28" t="inlineStr">
        <is>
          <t>-</t>
        </is>
      </c>
      <c r="T28" s="25">
        <f>G28*Refino!$D$29</f>
        <v/>
      </c>
      <c r="U28" s="25">
        <f>T28*0.1125*FeeCraft/100</f>
        <v/>
      </c>
      <c r="V28" s="23">
        <f>IF(OR(Q28="",R28=""),"",Q28+R28+U28)</f>
        <v/>
      </c>
      <c r="W28" s="23">
        <f>IF(O28="","",O28*(1-TaxaVenda))</f>
        <v/>
      </c>
      <c r="X28" s="26">
        <f>IF(OR(V28="",W28=""),"",W28-V28)</f>
        <v/>
      </c>
      <c r="Y28" s="27">
        <f>IF(X28="","",X28/V28)</f>
        <v/>
      </c>
    </row>
    <row r="29">
      <c r="A29" t="inlineStr">
        <is>
          <t>Soldado (Soldier)|Elmo|T4.0</t>
        </is>
      </c>
      <c r="B29" t="inlineStr">
        <is>
          <t>Soldado (Soldier)</t>
        </is>
      </c>
      <c r="C29" t="inlineStr">
        <is>
          <t>Elmo</t>
        </is>
      </c>
      <c r="D29" t="inlineStr">
        <is>
          <t>T4.0</t>
        </is>
      </c>
      <c r="E29" t="n">
        <v>4</v>
      </c>
      <c r="F29" t="n">
        <v>0</v>
      </c>
      <c r="G29" t="n">
        <v>8</v>
      </c>
      <c r="H29" s="22" t="n"/>
      <c r="I29" s="22" t="n"/>
      <c r="J29" s="22" t="n"/>
      <c r="K29" s="22" t="n"/>
      <c r="L29" s="22" t="n"/>
      <c r="M29" s="22" t="n"/>
      <c r="N29" s="22" t="n"/>
      <c r="O29" s="23">
        <f>IF(COUNT(H29:N29)=0,"",MAX(H29:N29))</f>
        <v/>
      </c>
      <c r="P29" s="24">
        <f>IF(O29="","",INDEX($H$3:$N$3,MATCH(O29,H29:N29,0)))</f>
        <v/>
      </c>
      <c r="Q29" s="23">
        <f>IF(Refino!$L$5="","",G29*Refino!$L$5*(1-RetCraft))</f>
        <v/>
      </c>
      <c r="R29" t="n">
        <v>0</v>
      </c>
      <c r="S29" t="inlineStr">
        <is>
          <t>-</t>
        </is>
      </c>
      <c r="T29" s="25">
        <f>G29*Refino!$D$5</f>
        <v/>
      </c>
      <c r="U29" s="25">
        <f>T29*0.1125*FeeCraft/100</f>
        <v/>
      </c>
      <c r="V29" s="23">
        <f>IF(OR(Q29="",R29=""),"",Q29+R29+U29)</f>
        <v/>
      </c>
      <c r="W29" s="23">
        <f>IF(O29="","",O29*(1-TaxaVenda))</f>
        <v/>
      </c>
      <c r="X29" s="26">
        <f>IF(OR(V29="",W29=""),"",W29-V29)</f>
        <v/>
      </c>
      <c r="Y29" s="27">
        <f>IF(X29="","",X29/V29)</f>
        <v/>
      </c>
    </row>
    <row r="30">
      <c r="A30" t="inlineStr">
        <is>
          <t>Soldado (Soldier)|Elmo|T4.1</t>
        </is>
      </c>
      <c r="B30" t="inlineStr">
        <is>
          <t>Soldado (Soldier)</t>
        </is>
      </c>
      <c r="C30" t="inlineStr">
        <is>
          <t>Elmo</t>
        </is>
      </c>
      <c r="D30" t="inlineStr">
        <is>
          <t>T4.1</t>
        </is>
      </c>
      <c r="E30" t="n">
        <v>4</v>
      </c>
      <c r="F30" t="n">
        <v>1</v>
      </c>
      <c r="G30" t="n">
        <v>8</v>
      </c>
      <c r="H30" s="22" t="n"/>
      <c r="I30" s="22" t="n"/>
      <c r="J30" s="22" t="n"/>
      <c r="K30" s="22" t="n"/>
      <c r="L30" s="22" t="n"/>
      <c r="M30" s="22" t="n"/>
      <c r="N30" s="22" t="n"/>
      <c r="O30" s="23">
        <f>IF(COUNT(H30:N30)=0,"",MAX(H30:N30))</f>
        <v/>
      </c>
      <c r="P30" s="24">
        <f>IF(O30="","",INDEX($H$3:$N$3,MATCH(O30,H30:N30,0)))</f>
        <v/>
      </c>
      <c r="Q30" s="23">
        <f>IF(Refino!$L$6="","",G30*Refino!$L$6*(1-RetCraft))</f>
        <v/>
      </c>
      <c r="R30" t="n">
        <v>0</v>
      </c>
      <c r="S30" t="inlineStr">
        <is>
          <t>-</t>
        </is>
      </c>
      <c r="T30" s="25">
        <f>G30*Refino!$D$6</f>
        <v/>
      </c>
      <c r="U30" s="25">
        <f>T30*0.1125*FeeCraft/100</f>
        <v/>
      </c>
      <c r="V30" s="23">
        <f>IF(OR(Q30="",R30=""),"",Q30+R30+U30)</f>
        <v/>
      </c>
      <c r="W30" s="23">
        <f>IF(O30="","",O30*(1-TaxaVenda))</f>
        <v/>
      </c>
      <c r="X30" s="26">
        <f>IF(OR(V30="",W30=""),"",W30-V30)</f>
        <v/>
      </c>
      <c r="Y30" s="27">
        <f>IF(X30="","",X30/V30)</f>
        <v/>
      </c>
    </row>
    <row r="31">
      <c r="A31" t="inlineStr">
        <is>
          <t>Soldado (Soldier)|Elmo|T4.2</t>
        </is>
      </c>
      <c r="B31" t="inlineStr">
        <is>
          <t>Soldado (Soldier)</t>
        </is>
      </c>
      <c r="C31" t="inlineStr">
        <is>
          <t>Elmo</t>
        </is>
      </c>
      <c r="D31" t="inlineStr">
        <is>
          <t>T4.2</t>
        </is>
      </c>
      <c r="E31" t="n">
        <v>4</v>
      </c>
      <c r="F31" t="n">
        <v>2</v>
      </c>
      <c r="G31" t="n">
        <v>8</v>
      </c>
      <c r="H31" s="22" t="n"/>
      <c r="I31" s="22" t="n"/>
      <c r="J31" s="22" t="n"/>
      <c r="K31" s="22" t="n"/>
      <c r="L31" s="22" t="n"/>
      <c r="M31" s="22" t="n"/>
      <c r="N31" s="22" t="n"/>
      <c r="O31" s="23">
        <f>IF(COUNT(H31:N31)=0,"",MAX(H31:N31))</f>
        <v/>
      </c>
      <c r="P31" s="24">
        <f>IF(O31="","",INDEX($H$3:$N$3,MATCH(O31,H31:N31,0)))</f>
        <v/>
      </c>
      <c r="Q31" s="23">
        <f>IF(Refino!$L$7="","",G31*Refino!$L$7*(1-RetCraft))</f>
        <v/>
      </c>
      <c r="R31" t="n">
        <v>0</v>
      </c>
      <c r="S31" t="inlineStr">
        <is>
          <t>-</t>
        </is>
      </c>
      <c r="T31" s="25">
        <f>G31*Refino!$D$7</f>
        <v/>
      </c>
      <c r="U31" s="25">
        <f>T31*0.1125*FeeCraft/100</f>
        <v/>
      </c>
      <c r="V31" s="23">
        <f>IF(OR(Q31="",R31=""),"",Q31+R31+U31)</f>
        <v/>
      </c>
      <c r="W31" s="23">
        <f>IF(O31="","",O31*(1-TaxaVenda))</f>
        <v/>
      </c>
      <c r="X31" s="26">
        <f>IF(OR(V31="",W31=""),"",W31-V31)</f>
        <v/>
      </c>
      <c r="Y31" s="27">
        <f>IF(X31="","",X31/V31)</f>
        <v/>
      </c>
    </row>
    <row r="32">
      <c r="A32" t="inlineStr">
        <is>
          <t>Soldado (Soldier)|Elmo|T4.3</t>
        </is>
      </c>
      <c r="B32" t="inlineStr">
        <is>
          <t>Soldado (Soldier)</t>
        </is>
      </c>
      <c r="C32" t="inlineStr">
        <is>
          <t>Elmo</t>
        </is>
      </c>
      <c r="D32" t="inlineStr">
        <is>
          <t>T4.3</t>
        </is>
      </c>
      <c r="E32" t="n">
        <v>4</v>
      </c>
      <c r="F32" t="n">
        <v>3</v>
      </c>
      <c r="G32" t="n">
        <v>8</v>
      </c>
      <c r="H32" s="22" t="n"/>
      <c r="I32" s="22" t="n"/>
      <c r="J32" s="22" t="n"/>
      <c r="K32" s="22" t="n"/>
      <c r="L32" s="22" t="n"/>
      <c r="M32" s="22" t="n"/>
      <c r="N32" s="22" t="n"/>
      <c r="O32" s="23">
        <f>IF(COUNT(H32:N32)=0,"",MAX(H32:N32))</f>
        <v/>
      </c>
      <c r="P32" s="24">
        <f>IF(O32="","",INDEX($H$3:$N$3,MATCH(O32,H32:N32,0)))</f>
        <v/>
      </c>
      <c r="Q32" s="23">
        <f>IF(Refino!$L$8="","",G32*Refino!$L$8*(1-RetCraft))</f>
        <v/>
      </c>
      <c r="R32" t="n">
        <v>0</v>
      </c>
      <c r="S32" t="inlineStr">
        <is>
          <t>-</t>
        </is>
      </c>
      <c r="T32" s="25">
        <f>G32*Refino!$D$8</f>
        <v/>
      </c>
      <c r="U32" s="25">
        <f>T32*0.1125*FeeCraft/100</f>
        <v/>
      </c>
      <c r="V32" s="23">
        <f>IF(OR(Q32="",R32=""),"",Q32+R32+U32)</f>
        <v/>
      </c>
      <c r="W32" s="23">
        <f>IF(O32="","",O32*(1-TaxaVenda))</f>
        <v/>
      </c>
      <c r="X32" s="26">
        <f>IF(OR(V32="",W32=""),"",W32-V32)</f>
        <v/>
      </c>
      <c r="Y32" s="27">
        <f>IF(X32="","",X32/V32)</f>
        <v/>
      </c>
    </row>
    <row r="33">
      <c r="A33" t="inlineStr">
        <is>
          <t>Soldado (Soldier)|Elmo|T4.4</t>
        </is>
      </c>
      <c r="B33" t="inlineStr">
        <is>
          <t>Soldado (Soldier)</t>
        </is>
      </c>
      <c r="C33" t="inlineStr">
        <is>
          <t>Elmo</t>
        </is>
      </c>
      <c r="D33" t="inlineStr">
        <is>
          <t>T4.4</t>
        </is>
      </c>
      <c r="E33" t="n">
        <v>4</v>
      </c>
      <c r="F33" t="n">
        <v>4</v>
      </c>
      <c r="G33" t="n">
        <v>8</v>
      </c>
      <c r="H33" s="22" t="n"/>
      <c r="I33" s="22" t="n"/>
      <c r="J33" s="22" t="n"/>
      <c r="K33" s="22" t="n"/>
      <c r="L33" s="22" t="n"/>
      <c r="M33" s="22" t="n"/>
      <c r="N33" s="22" t="n"/>
      <c r="O33" s="23">
        <f>IF(COUNT(H33:N33)=0,"",MAX(H33:N33))</f>
        <v/>
      </c>
      <c r="P33" s="24">
        <f>IF(O33="","",INDEX($H$3:$N$3,MATCH(O33,H33:N33,0)))</f>
        <v/>
      </c>
      <c r="Q33" s="23">
        <f>IF(Refino!$L$9="","",G33*Refino!$L$9*(1-RetCraft))</f>
        <v/>
      </c>
      <c r="R33" t="n">
        <v>0</v>
      </c>
      <c r="S33" t="inlineStr">
        <is>
          <t>-</t>
        </is>
      </c>
      <c r="T33" s="25">
        <f>G33*Refino!$D$9</f>
        <v/>
      </c>
      <c r="U33" s="25">
        <f>T33*0.1125*FeeCraft/100</f>
        <v/>
      </c>
      <c r="V33" s="23">
        <f>IF(OR(Q33="",R33=""),"",Q33+R33+U33)</f>
        <v/>
      </c>
      <c r="W33" s="23">
        <f>IF(O33="","",O33*(1-TaxaVenda))</f>
        <v/>
      </c>
      <c r="X33" s="26">
        <f>IF(OR(V33="",W33=""),"",W33-V33)</f>
        <v/>
      </c>
      <c r="Y33" s="27">
        <f>IF(X33="","",X33/V33)</f>
        <v/>
      </c>
    </row>
    <row r="34">
      <c r="A34" t="inlineStr">
        <is>
          <t>Soldado (Soldier)|Elmo|T5.0</t>
        </is>
      </c>
      <c r="B34" t="inlineStr">
        <is>
          <t>Soldado (Soldier)</t>
        </is>
      </c>
      <c r="C34" t="inlineStr">
        <is>
          <t>Elmo</t>
        </is>
      </c>
      <c r="D34" t="inlineStr">
        <is>
          <t>T5.0</t>
        </is>
      </c>
      <c r="E34" t="n">
        <v>5</v>
      </c>
      <c r="F34" t="n">
        <v>0</v>
      </c>
      <c r="G34" t="n">
        <v>8</v>
      </c>
      <c r="H34" s="22" t="n"/>
      <c r="I34" s="22" t="n"/>
      <c r="J34" s="22" t="n"/>
      <c r="K34" s="22" t="n"/>
      <c r="L34" s="22" t="n"/>
      <c r="M34" s="22" t="n"/>
      <c r="N34" s="22" t="n"/>
      <c r="O34" s="23">
        <f>IF(COUNT(H34:N34)=0,"",MAX(H34:N34))</f>
        <v/>
      </c>
      <c r="P34" s="24">
        <f>IF(O34="","",INDEX($H$3:$N$3,MATCH(O34,H34:N34,0)))</f>
        <v/>
      </c>
      <c r="Q34" s="23">
        <f>IF(Refino!$L$10="","",G34*Refino!$L$10*(1-RetCraft))</f>
        <v/>
      </c>
      <c r="R34" t="n">
        <v>0</v>
      </c>
      <c r="S34" t="inlineStr">
        <is>
          <t>-</t>
        </is>
      </c>
      <c r="T34" s="25">
        <f>G34*Refino!$D$10</f>
        <v/>
      </c>
      <c r="U34" s="25">
        <f>T34*0.1125*FeeCraft/100</f>
        <v/>
      </c>
      <c r="V34" s="23">
        <f>IF(OR(Q34="",R34=""),"",Q34+R34+U34)</f>
        <v/>
      </c>
      <c r="W34" s="23">
        <f>IF(O34="","",O34*(1-TaxaVenda))</f>
        <v/>
      </c>
      <c r="X34" s="26">
        <f>IF(OR(V34="",W34=""),"",W34-V34)</f>
        <v/>
      </c>
      <c r="Y34" s="27">
        <f>IF(X34="","",X34/V34)</f>
        <v/>
      </c>
    </row>
    <row r="35">
      <c r="A35" t="inlineStr">
        <is>
          <t>Soldado (Soldier)|Elmo|T5.1</t>
        </is>
      </c>
      <c r="B35" t="inlineStr">
        <is>
          <t>Soldado (Soldier)</t>
        </is>
      </c>
      <c r="C35" t="inlineStr">
        <is>
          <t>Elmo</t>
        </is>
      </c>
      <c r="D35" t="inlineStr">
        <is>
          <t>T5.1</t>
        </is>
      </c>
      <c r="E35" t="n">
        <v>5</v>
      </c>
      <c r="F35" t="n">
        <v>1</v>
      </c>
      <c r="G35" t="n">
        <v>8</v>
      </c>
      <c r="H35" s="22" t="n"/>
      <c r="I35" s="22" t="n"/>
      <c r="J35" s="22" t="n"/>
      <c r="K35" s="22" t="n"/>
      <c r="L35" s="22" t="n"/>
      <c r="M35" s="22" t="n"/>
      <c r="N35" s="22" t="n"/>
      <c r="O35" s="23">
        <f>IF(COUNT(H35:N35)=0,"",MAX(H35:N35))</f>
        <v/>
      </c>
      <c r="P35" s="24">
        <f>IF(O35="","",INDEX($H$3:$N$3,MATCH(O35,H35:N35,0)))</f>
        <v/>
      </c>
      <c r="Q35" s="23">
        <f>IF(Refino!$L$11="","",G35*Refino!$L$11*(1-RetCraft))</f>
        <v/>
      </c>
      <c r="R35" t="n">
        <v>0</v>
      </c>
      <c r="S35" t="inlineStr">
        <is>
          <t>-</t>
        </is>
      </c>
      <c r="T35" s="25">
        <f>G35*Refino!$D$11</f>
        <v/>
      </c>
      <c r="U35" s="25">
        <f>T35*0.1125*FeeCraft/100</f>
        <v/>
      </c>
      <c r="V35" s="23">
        <f>IF(OR(Q35="",R35=""),"",Q35+R35+U35)</f>
        <v/>
      </c>
      <c r="W35" s="23">
        <f>IF(O35="","",O35*(1-TaxaVenda))</f>
        <v/>
      </c>
      <c r="X35" s="26">
        <f>IF(OR(V35="",W35=""),"",W35-V35)</f>
        <v/>
      </c>
      <c r="Y35" s="27">
        <f>IF(X35="","",X35/V35)</f>
        <v/>
      </c>
    </row>
    <row r="36">
      <c r="A36" t="inlineStr">
        <is>
          <t>Soldado (Soldier)|Elmo|T5.2</t>
        </is>
      </c>
      <c r="B36" t="inlineStr">
        <is>
          <t>Soldado (Soldier)</t>
        </is>
      </c>
      <c r="C36" t="inlineStr">
        <is>
          <t>Elmo</t>
        </is>
      </c>
      <c r="D36" t="inlineStr">
        <is>
          <t>T5.2</t>
        </is>
      </c>
      <c r="E36" t="n">
        <v>5</v>
      </c>
      <c r="F36" t="n">
        <v>2</v>
      </c>
      <c r="G36" t="n">
        <v>8</v>
      </c>
      <c r="H36" s="22" t="n"/>
      <c r="I36" s="22" t="n"/>
      <c r="J36" s="22" t="n"/>
      <c r="K36" s="22" t="n"/>
      <c r="L36" s="22" t="n"/>
      <c r="M36" s="22" t="n"/>
      <c r="N36" s="22" t="n"/>
      <c r="O36" s="23">
        <f>IF(COUNT(H36:N36)=0,"",MAX(H36:N36))</f>
        <v/>
      </c>
      <c r="P36" s="24">
        <f>IF(O36="","",INDEX($H$3:$N$3,MATCH(O36,H36:N36,0)))</f>
        <v/>
      </c>
      <c r="Q36" s="23">
        <f>IF(Refino!$L$12="","",G36*Refino!$L$12*(1-RetCraft))</f>
        <v/>
      </c>
      <c r="R36" t="n">
        <v>0</v>
      </c>
      <c r="S36" t="inlineStr">
        <is>
          <t>-</t>
        </is>
      </c>
      <c r="T36" s="25">
        <f>G36*Refino!$D$12</f>
        <v/>
      </c>
      <c r="U36" s="25">
        <f>T36*0.1125*FeeCraft/100</f>
        <v/>
      </c>
      <c r="V36" s="23">
        <f>IF(OR(Q36="",R36=""),"",Q36+R36+U36)</f>
        <v/>
      </c>
      <c r="W36" s="23">
        <f>IF(O36="","",O36*(1-TaxaVenda))</f>
        <v/>
      </c>
      <c r="X36" s="26">
        <f>IF(OR(V36="",W36=""),"",W36-V36)</f>
        <v/>
      </c>
      <c r="Y36" s="27">
        <f>IF(X36="","",X36/V36)</f>
        <v/>
      </c>
    </row>
    <row r="37">
      <c r="A37" t="inlineStr">
        <is>
          <t>Soldado (Soldier)|Elmo|T5.3</t>
        </is>
      </c>
      <c r="B37" t="inlineStr">
        <is>
          <t>Soldado (Soldier)</t>
        </is>
      </c>
      <c r="C37" t="inlineStr">
        <is>
          <t>Elmo</t>
        </is>
      </c>
      <c r="D37" t="inlineStr">
        <is>
          <t>T5.3</t>
        </is>
      </c>
      <c r="E37" t="n">
        <v>5</v>
      </c>
      <c r="F37" t="n">
        <v>3</v>
      </c>
      <c r="G37" t="n">
        <v>8</v>
      </c>
      <c r="H37" s="22" t="n"/>
      <c r="I37" s="22" t="n"/>
      <c r="J37" s="22" t="n"/>
      <c r="K37" s="22" t="n"/>
      <c r="L37" s="22" t="n"/>
      <c r="M37" s="22" t="n"/>
      <c r="N37" s="22" t="n"/>
      <c r="O37" s="23">
        <f>IF(COUNT(H37:N37)=0,"",MAX(H37:N37))</f>
        <v/>
      </c>
      <c r="P37" s="24">
        <f>IF(O37="","",INDEX($H$3:$N$3,MATCH(O37,H37:N37,0)))</f>
        <v/>
      </c>
      <c r="Q37" s="23">
        <f>IF(Refino!$L$13="","",G37*Refino!$L$13*(1-RetCraft))</f>
        <v/>
      </c>
      <c r="R37" t="n">
        <v>0</v>
      </c>
      <c r="S37" t="inlineStr">
        <is>
          <t>-</t>
        </is>
      </c>
      <c r="T37" s="25">
        <f>G37*Refino!$D$13</f>
        <v/>
      </c>
      <c r="U37" s="25">
        <f>T37*0.1125*FeeCraft/100</f>
        <v/>
      </c>
      <c r="V37" s="23">
        <f>IF(OR(Q37="",R37=""),"",Q37+R37+U37)</f>
        <v/>
      </c>
      <c r="W37" s="23">
        <f>IF(O37="","",O37*(1-TaxaVenda))</f>
        <v/>
      </c>
      <c r="X37" s="26">
        <f>IF(OR(V37="",W37=""),"",W37-V37)</f>
        <v/>
      </c>
      <c r="Y37" s="27">
        <f>IF(X37="","",X37/V37)</f>
        <v/>
      </c>
    </row>
    <row r="38">
      <c r="A38" t="inlineStr">
        <is>
          <t>Soldado (Soldier)|Elmo|T5.4</t>
        </is>
      </c>
      <c r="B38" t="inlineStr">
        <is>
          <t>Soldado (Soldier)</t>
        </is>
      </c>
      <c r="C38" t="inlineStr">
        <is>
          <t>Elmo</t>
        </is>
      </c>
      <c r="D38" t="inlineStr">
        <is>
          <t>T5.4</t>
        </is>
      </c>
      <c r="E38" t="n">
        <v>5</v>
      </c>
      <c r="F38" t="n">
        <v>4</v>
      </c>
      <c r="G38" t="n">
        <v>8</v>
      </c>
      <c r="H38" s="22" t="n"/>
      <c r="I38" s="22" t="n"/>
      <c r="J38" s="22" t="n"/>
      <c r="K38" s="22" t="n"/>
      <c r="L38" s="22" t="n"/>
      <c r="M38" s="22" t="n"/>
      <c r="N38" s="22" t="n"/>
      <c r="O38" s="23">
        <f>IF(COUNT(H38:N38)=0,"",MAX(H38:N38))</f>
        <v/>
      </c>
      <c r="P38" s="24">
        <f>IF(O38="","",INDEX($H$3:$N$3,MATCH(O38,H38:N38,0)))</f>
        <v/>
      </c>
      <c r="Q38" s="23">
        <f>IF(Refino!$L$14="","",G38*Refino!$L$14*(1-RetCraft))</f>
        <v/>
      </c>
      <c r="R38" t="n">
        <v>0</v>
      </c>
      <c r="S38" t="inlineStr">
        <is>
          <t>-</t>
        </is>
      </c>
      <c r="T38" s="25">
        <f>G38*Refino!$D$14</f>
        <v/>
      </c>
      <c r="U38" s="25">
        <f>T38*0.1125*FeeCraft/100</f>
        <v/>
      </c>
      <c r="V38" s="23">
        <f>IF(OR(Q38="",R38=""),"",Q38+R38+U38)</f>
        <v/>
      </c>
      <c r="W38" s="23">
        <f>IF(O38="","",O38*(1-TaxaVenda))</f>
        <v/>
      </c>
      <c r="X38" s="26">
        <f>IF(OR(V38="",W38=""),"",W38-V38)</f>
        <v/>
      </c>
      <c r="Y38" s="27">
        <f>IF(X38="","",X38/V38)</f>
        <v/>
      </c>
    </row>
    <row r="39">
      <c r="A39" t="inlineStr">
        <is>
          <t>Soldado (Soldier)|Elmo|T6.0</t>
        </is>
      </c>
      <c r="B39" t="inlineStr">
        <is>
          <t>Soldado (Soldier)</t>
        </is>
      </c>
      <c r="C39" t="inlineStr">
        <is>
          <t>Elmo</t>
        </is>
      </c>
      <c r="D39" t="inlineStr">
        <is>
          <t>T6.0</t>
        </is>
      </c>
      <c r="E39" t="n">
        <v>6</v>
      </c>
      <c r="F39" t="n">
        <v>0</v>
      </c>
      <c r="G39" t="n">
        <v>8</v>
      </c>
      <c r="H39" s="22" t="n"/>
      <c r="I39" s="22" t="n"/>
      <c r="J39" s="22" t="n"/>
      <c r="K39" s="22" t="n"/>
      <c r="L39" s="22" t="n"/>
      <c r="M39" s="22" t="n"/>
      <c r="N39" s="22" t="n"/>
      <c r="O39" s="23">
        <f>IF(COUNT(H39:N39)=0,"",MAX(H39:N39))</f>
        <v/>
      </c>
      <c r="P39" s="24">
        <f>IF(O39="","",INDEX($H$3:$N$3,MATCH(O39,H39:N39,0)))</f>
        <v/>
      </c>
      <c r="Q39" s="23">
        <f>IF(Refino!$L$15="","",G39*Refino!$L$15*(1-RetCraft))</f>
        <v/>
      </c>
      <c r="R39" t="n">
        <v>0</v>
      </c>
      <c r="S39" t="inlineStr">
        <is>
          <t>-</t>
        </is>
      </c>
      <c r="T39" s="25">
        <f>G39*Refino!$D$15</f>
        <v/>
      </c>
      <c r="U39" s="25">
        <f>T39*0.1125*FeeCraft/100</f>
        <v/>
      </c>
      <c r="V39" s="23">
        <f>IF(OR(Q39="",R39=""),"",Q39+R39+U39)</f>
        <v/>
      </c>
      <c r="W39" s="23">
        <f>IF(O39="","",O39*(1-TaxaVenda))</f>
        <v/>
      </c>
      <c r="X39" s="26">
        <f>IF(OR(V39="",W39=""),"",W39-V39)</f>
        <v/>
      </c>
      <c r="Y39" s="27">
        <f>IF(X39="","",X39/V39)</f>
        <v/>
      </c>
    </row>
    <row r="40">
      <c r="A40" t="inlineStr">
        <is>
          <t>Soldado (Soldier)|Elmo|T6.1</t>
        </is>
      </c>
      <c r="B40" t="inlineStr">
        <is>
          <t>Soldado (Soldier)</t>
        </is>
      </c>
      <c r="C40" t="inlineStr">
        <is>
          <t>Elmo</t>
        </is>
      </c>
      <c r="D40" t="inlineStr">
        <is>
          <t>T6.1</t>
        </is>
      </c>
      <c r="E40" t="n">
        <v>6</v>
      </c>
      <c r="F40" t="n">
        <v>1</v>
      </c>
      <c r="G40" t="n">
        <v>8</v>
      </c>
      <c r="H40" s="22" t="n"/>
      <c r="I40" s="22" t="n"/>
      <c r="J40" s="22" t="n"/>
      <c r="K40" s="22" t="n"/>
      <c r="L40" s="22" t="n"/>
      <c r="M40" s="22" t="n"/>
      <c r="N40" s="22" t="n"/>
      <c r="O40" s="23">
        <f>IF(COUNT(H40:N40)=0,"",MAX(H40:N40))</f>
        <v/>
      </c>
      <c r="P40" s="24">
        <f>IF(O40="","",INDEX($H$3:$N$3,MATCH(O40,H40:N40,0)))</f>
        <v/>
      </c>
      <c r="Q40" s="23">
        <f>IF(Refino!$L$16="","",G40*Refino!$L$16*(1-RetCraft))</f>
        <v/>
      </c>
      <c r="R40" t="n">
        <v>0</v>
      </c>
      <c r="S40" t="inlineStr">
        <is>
          <t>-</t>
        </is>
      </c>
      <c r="T40" s="25">
        <f>G40*Refino!$D$16</f>
        <v/>
      </c>
      <c r="U40" s="25">
        <f>T40*0.1125*FeeCraft/100</f>
        <v/>
      </c>
      <c r="V40" s="23">
        <f>IF(OR(Q40="",R40=""),"",Q40+R40+U40)</f>
        <v/>
      </c>
      <c r="W40" s="23">
        <f>IF(O40="","",O40*(1-TaxaVenda))</f>
        <v/>
      </c>
      <c r="X40" s="26">
        <f>IF(OR(V40="",W40=""),"",W40-V40)</f>
        <v/>
      </c>
      <c r="Y40" s="27">
        <f>IF(X40="","",X40/V40)</f>
        <v/>
      </c>
    </row>
    <row r="41">
      <c r="A41" t="inlineStr">
        <is>
          <t>Soldado (Soldier)|Elmo|T6.2</t>
        </is>
      </c>
      <c r="B41" t="inlineStr">
        <is>
          <t>Soldado (Soldier)</t>
        </is>
      </c>
      <c r="C41" t="inlineStr">
        <is>
          <t>Elmo</t>
        </is>
      </c>
      <c r="D41" t="inlineStr">
        <is>
          <t>T6.2</t>
        </is>
      </c>
      <c r="E41" t="n">
        <v>6</v>
      </c>
      <c r="F41" t="n">
        <v>2</v>
      </c>
      <c r="G41" t="n">
        <v>8</v>
      </c>
      <c r="H41" s="22" t="n"/>
      <c r="I41" s="22" t="n"/>
      <c r="J41" s="22" t="n"/>
      <c r="K41" s="22" t="n"/>
      <c r="L41" s="22" t="n"/>
      <c r="M41" s="22" t="n"/>
      <c r="N41" s="22" t="n"/>
      <c r="O41" s="23">
        <f>IF(COUNT(H41:N41)=0,"",MAX(H41:N41))</f>
        <v/>
      </c>
      <c r="P41" s="24">
        <f>IF(O41="","",INDEX($H$3:$N$3,MATCH(O41,H41:N41,0)))</f>
        <v/>
      </c>
      <c r="Q41" s="23">
        <f>IF(Refino!$L$17="","",G41*Refino!$L$17*(1-RetCraft))</f>
        <v/>
      </c>
      <c r="R41" t="n">
        <v>0</v>
      </c>
      <c r="S41" t="inlineStr">
        <is>
          <t>-</t>
        </is>
      </c>
      <c r="T41" s="25">
        <f>G41*Refino!$D$17</f>
        <v/>
      </c>
      <c r="U41" s="25">
        <f>T41*0.1125*FeeCraft/100</f>
        <v/>
      </c>
      <c r="V41" s="23">
        <f>IF(OR(Q41="",R41=""),"",Q41+R41+U41)</f>
        <v/>
      </c>
      <c r="W41" s="23">
        <f>IF(O41="","",O41*(1-TaxaVenda))</f>
        <v/>
      </c>
      <c r="X41" s="26">
        <f>IF(OR(V41="",W41=""),"",W41-V41)</f>
        <v/>
      </c>
      <c r="Y41" s="27">
        <f>IF(X41="","",X41/V41)</f>
        <v/>
      </c>
    </row>
    <row r="42">
      <c r="A42" t="inlineStr">
        <is>
          <t>Soldado (Soldier)|Elmo|T6.3</t>
        </is>
      </c>
      <c r="B42" t="inlineStr">
        <is>
          <t>Soldado (Soldier)</t>
        </is>
      </c>
      <c r="C42" t="inlineStr">
        <is>
          <t>Elmo</t>
        </is>
      </c>
      <c r="D42" t="inlineStr">
        <is>
          <t>T6.3</t>
        </is>
      </c>
      <c r="E42" t="n">
        <v>6</v>
      </c>
      <c r="F42" t="n">
        <v>3</v>
      </c>
      <c r="G42" t="n">
        <v>8</v>
      </c>
      <c r="H42" s="22" t="n"/>
      <c r="I42" s="22" t="n"/>
      <c r="J42" s="22" t="n"/>
      <c r="K42" s="22" t="n"/>
      <c r="L42" s="22" t="n"/>
      <c r="M42" s="22" t="n"/>
      <c r="N42" s="22" t="n"/>
      <c r="O42" s="23">
        <f>IF(COUNT(H42:N42)=0,"",MAX(H42:N42))</f>
        <v/>
      </c>
      <c r="P42" s="24">
        <f>IF(O42="","",INDEX($H$3:$N$3,MATCH(O42,H42:N42,0)))</f>
        <v/>
      </c>
      <c r="Q42" s="23">
        <f>IF(Refino!$L$18="","",G42*Refino!$L$18*(1-RetCraft))</f>
        <v/>
      </c>
      <c r="R42" t="n">
        <v>0</v>
      </c>
      <c r="S42" t="inlineStr">
        <is>
          <t>-</t>
        </is>
      </c>
      <c r="T42" s="25">
        <f>G42*Refino!$D$18</f>
        <v/>
      </c>
      <c r="U42" s="25">
        <f>T42*0.1125*FeeCraft/100</f>
        <v/>
      </c>
      <c r="V42" s="23">
        <f>IF(OR(Q42="",R42=""),"",Q42+R42+U42)</f>
        <v/>
      </c>
      <c r="W42" s="23">
        <f>IF(O42="","",O42*(1-TaxaVenda))</f>
        <v/>
      </c>
      <c r="X42" s="26">
        <f>IF(OR(V42="",W42=""),"",W42-V42)</f>
        <v/>
      </c>
      <c r="Y42" s="27">
        <f>IF(X42="","",X42/V42)</f>
        <v/>
      </c>
    </row>
    <row r="43">
      <c r="A43" t="inlineStr">
        <is>
          <t>Soldado (Soldier)|Elmo|T6.4</t>
        </is>
      </c>
      <c r="B43" t="inlineStr">
        <is>
          <t>Soldado (Soldier)</t>
        </is>
      </c>
      <c r="C43" t="inlineStr">
        <is>
          <t>Elmo</t>
        </is>
      </c>
      <c r="D43" t="inlineStr">
        <is>
          <t>T6.4</t>
        </is>
      </c>
      <c r="E43" t="n">
        <v>6</v>
      </c>
      <c r="F43" t="n">
        <v>4</v>
      </c>
      <c r="G43" t="n">
        <v>8</v>
      </c>
      <c r="H43" s="22" t="n"/>
      <c r="I43" s="22" t="n"/>
      <c r="J43" s="22" t="n"/>
      <c r="K43" s="22" t="n"/>
      <c r="L43" s="22" t="n"/>
      <c r="M43" s="22" t="n"/>
      <c r="N43" s="22" t="n"/>
      <c r="O43" s="23">
        <f>IF(COUNT(H43:N43)=0,"",MAX(H43:N43))</f>
        <v/>
      </c>
      <c r="P43" s="24">
        <f>IF(O43="","",INDEX($H$3:$N$3,MATCH(O43,H43:N43,0)))</f>
        <v/>
      </c>
      <c r="Q43" s="23">
        <f>IF(Refino!$L$19="","",G43*Refino!$L$19*(1-RetCraft))</f>
        <v/>
      </c>
      <c r="R43" t="n">
        <v>0</v>
      </c>
      <c r="S43" t="inlineStr">
        <is>
          <t>-</t>
        </is>
      </c>
      <c r="T43" s="25">
        <f>G43*Refino!$D$19</f>
        <v/>
      </c>
      <c r="U43" s="25">
        <f>T43*0.1125*FeeCraft/100</f>
        <v/>
      </c>
      <c r="V43" s="23">
        <f>IF(OR(Q43="",R43=""),"",Q43+R43+U43)</f>
        <v/>
      </c>
      <c r="W43" s="23">
        <f>IF(O43="","",O43*(1-TaxaVenda))</f>
        <v/>
      </c>
      <c r="X43" s="26">
        <f>IF(OR(V43="",W43=""),"",W43-V43)</f>
        <v/>
      </c>
      <c r="Y43" s="27">
        <f>IF(X43="","",X43/V43)</f>
        <v/>
      </c>
    </row>
    <row r="44">
      <c r="A44" t="inlineStr">
        <is>
          <t>Soldado (Soldier)|Elmo|T7.0</t>
        </is>
      </c>
      <c r="B44" t="inlineStr">
        <is>
          <t>Soldado (Soldier)</t>
        </is>
      </c>
      <c r="C44" t="inlineStr">
        <is>
          <t>Elmo</t>
        </is>
      </c>
      <c r="D44" t="inlineStr">
        <is>
          <t>T7.0</t>
        </is>
      </c>
      <c r="E44" t="n">
        <v>7</v>
      </c>
      <c r="F44" t="n">
        <v>0</v>
      </c>
      <c r="G44" t="n">
        <v>8</v>
      </c>
      <c r="H44" s="22" t="n"/>
      <c r="I44" s="22" t="n"/>
      <c r="J44" s="22" t="n"/>
      <c r="K44" s="22" t="n"/>
      <c r="L44" s="22" t="n"/>
      <c r="M44" s="22" t="n"/>
      <c r="N44" s="22" t="n"/>
      <c r="O44" s="23">
        <f>IF(COUNT(H44:N44)=0,"",MAX(H44:N44))</f>
        <v/>
      </c>
      <c r="P44" s="24">
        <f>IF(O44="","",INDEX($H$3:$N$3,MATCH(O44,H44:N44,0)))</f>
        <v/>
      </c>
      <c r="Q44" s="23">
        <f>IF(Refino!$L$20="","",G44*Refino!$L$20*(1-RetCraft))</f>
        <v/>
      </c>
      <c r="R44" t="n">
        <v>0</v>
      </c>
      <c r="S44" t="inlineStr">
        <is>
          <t>-</t>
        </is>
      </c>
      <c r="T44" s="25">
        <f>G44*Refino!$D$20</f>
        <v/>
      </c>
      <c r="U44" s="25">
        <f>T44*0.1125*FeeCraft/100</f>
        <v/>
      </c>
      <c r="V44" s="23">
        <f>IF(OR(Q44="",R44=""),"",Q44+R44+U44)</f>
        <v/>
      </c>
      <c r="W44" s="23">
        <f>IF(O44="","",O44*(1-TaxaVenda))</f>
        <v/>
      </c>
      <c r="X44" s="26">
        <f>IF(OR(V44="",W44=""),"",W44-V44)</f>
        <v/>
      </c>
      <c r="Y44" s="27">
        <f>IF(X44="","",X44/V44)</f>
        <v/>
      </c>
    </row>
    <row r="45">
      <c r="A45" t="inlineStr">
        <is>
          <t>Soldado (Soldier)|Elmo|T7.1</t>
        </is>
      </c>
      <c r="B45" t="inlineStr">
        <is>
          <t>Soldado (Soldier)</t>
        </is>
      </c>
      <c r="C45" t="inlineStr">
        <is>
          <t>Elmo</t>
        </is>
      </c>
      <c r="D45" t="inlineStr">
        <is>
          <t>T7.1</t>
        </is>
      </c>
      <c r="E45" t="n">
        <v>7</v>
      </c>
      <c r="F45" t="n">
        <v>1</v>
      </c>
      <c r="G45" t="n">
        <v>8</v>
      </c>
      <c r="H45" s="22" t="n"/>
      <c r="I45" s="22" t="n"/>
      <c r="J45" s="22" t="n"/>
      <c r="K45" s="22" t="n"/>
      <c r="L45" s="22" t="n"/>
      <c r="M45" s="22" t="n"/>
      <c r="N45" s="22" t="n"/>
      <c r="O45" s="23">
        <f>IF(COUNT(H45:N45)=0,"",MAX(H45:N45))</f>
        <v/>
      </c>
      <c r="P45" s="24">
        <f>IF(O45="","",INDEX($H$3:$N$3,MATCH(O45,H45:N45,0)))</f>
        <v/>
      </c>
      <c r="Q45" s="23">
        <f>IF(Refino!$L$21="","",G45*Refino!$L$21*(1-RetCraft))</f>
        <v/>
      </c>
      <c r="R45" t="n">
        <v>0</v>
      </c>
      <c r="S45" t="inlineStr">
        <is>
          <t>-</t>
        </is>
      </c>
      <c r="T45" s="25">
        <f>G45*Refino!$D$21</f>
        <v/>
      </c>
      <c r="U45" s="25">
        <f>T45*0.1125*FeeCraft/100</f>
        <v/>
      </c>
      <c r="V45" s="23">
        <f>IF(OR(Q45="",R45=""),"",Q45+R45+U45)</f>
        <v/>
      </c>
      <c r="W45" s="23">
        <f>IF(O45="","",O45*(1-TaxaVenda))</f>
        <v/>
      </c>
      <c r="X45" s="26">
        <f>IF(OR(V45="",W45=""),"",W45-V45)</f>
        <v/>
      </c>
      <c r="Y45" s="27">
        <f>IF(X45="","",X45/V45)</f>
        <v/>
      </c>
    </row>
    <row r="46">
      <c r="A46" t="inlineStr">
        <is>
          <t>Soldado (Soldier)|Elmo|T7.2</t>
        </is>
      </c>
      <c r="B46" t="inlineStr">
        <is>
          <t>Soldado (Soldier)</t>
        </is>
      </c>
      <c r="C46" t="inlineStr">
        <is>
          <t>Elmo</t>
        </is>
      </c>
      <c r="D46" t="inlineStr">
        <is>
          <t>T7.2</t>
        </is>
      </c>
      <c r="E46" t="n">
        <v>7</v>
      </c>
      <c r="F46" t="n">
        <v>2</v>
      </c>
      <c r="G46" t="n">
        <v>8</v>
      </c>
      <c r="H46" s="22" t="n"/>
      <c r="I46" s="22" t="n"/>
      <c r="J46" s="22" t="n"/>
      <c r="K46" s="22" t="n"/>
      <c r="L46" s="22" t="n"/>
      <c r="M46" s="22" t="n"/>
      <c r="N46" s="22" t="n"/>
      <c r="O46" s="23">
        <f>IF(COUNT(H46:N46)=0,"",MAX(H46:N46))</f>
        <v/>
      </c>
      <c r="P46" s="24">
        <f>IF(O46="","",INDEX($H$3:$N$3,MATCH(O46,H46:N46,0)))</f>
        <v/>
      </c>
      <c r="Q46" s="23">
        <f>IF(Refino!$L$22="","",G46*Refino!$L$22*(1-RetCraft))</f>
        <v/>
      </c>
      <c r="R46" t="n">
        <v>0</v>
      </c>
      <c r="S46" t="inlineStr">
        <is>
          <t>-</t>
        </is>
      </c>
      <c r="T46" s="25">
        <f>G46*Refino!$D$22</f>
        <v/>
      </c>
      <c r="U46" s="25">
        <f>T46*0.1125*FeeCraft/100</f>
        <v/>
      </c>
      <c r="V46" s="23">
        <f>IF(OR(Q46="",R46=""),"",Q46+R46+U46)</f>
        <v/>
      </c>
      <c r="W46" s="23">
        <f>IF(O46="","",O46*(1-TaxaVenda))</f>
        <v/>
      </c>
      <c r="X46" s="26">
        <f>IF(OR(V46="",W46=""),"",W46-V46)</f>
        <v/>
      </c>
      <c r="Y46" s="27">
        <f>IF(X46="","",X46/V46)</f>
        <v/>
      </c>
    </row>
    <row r="47">
      <c r="A47" t="inlineStr">
        <is>
          <t>Soldado (Soldier)|Elmo|T7.3</t>
        </is>
      </c>
      <c r="B47" t="inlineStr">
        <is>
          <t>Soldado (Soldier)</t>
        </is>
      </c>
      <c r="C47" t="inlineStr">
        <is>
          <t>Elmo</t>
        </is>
      </c>
      <c r="D47" t="inlineStr">
        <is>
          <t>T7.3</t>
        </is>
      </c>
      <c r="E47" t="n">
        <v>7</v>
      </c>
      <c r="F47" t="n">
        <v>3</v>
      </c>
      <c r="G47" t="n">
        <v>8</v>
      </c>
      <c r="H47" s="22" t="n"/>
      <c r="I47" s="22" t="n"/>
      <c r="J47" s="22" t="n"/>
      <c r="K47" s="22" t="n"/>
      <c r="L47" s="22" t="n"/>
      <c r="M47" s="22" t="n"/>
      <c r="N47" s="22" t="n"/>
      <c r="O47" s="23">
        <f>IF(COUNT(H47:N47)=0,"",MAX(H47:N47))</f>
        <v/>
      </c>
      <c r="P47" s="24">
        <f>IF(O47="","",INDEX($H$3:$N$3,MATCH(O47,H47:N47,0)))</f>
        <v/>
      </c>
      <c r="Q47" s="23">
        <f>IF(Refino!$L$23="","",G47*Refino!$L$23*(1-RetCraft))</f>
        <v/>
      </c>
      <c r="R47" t="n">
        <v>0</v>
      </c>
      <c r="S47" t="inlineStr">
        <is>
          <t>-</t>
        </is>
      </c>
      <c r="T47" s="25">
        <f>G47*Refino!$D$23</f>
        <v/>
      </c>
      <c r="U47" s="25">
        <f>T47*0.1125*FeeCraft/100</f>
        <v/>
      </c>
      <c r="V47" s="23">
        <f>IF(OR(Q47="",R47=""),"",Q47+R47+U47)</f>
        <v/>
      </c>
      <c r="W47" s="23">
        <f>IF(O47="","",O47*(1-TaxaVenda))</f>
        <v/>
      </c>
      <c r="X47" s="26">
        <f>IF(OR(V47="",W47=""),"",W47-V47)</f>
        <v/>
      </c>
      <c r="Y47" s="27">
        <f>IF(X47="","",X47/V47)</f>
        <v/>
      </c>
    </row>
    <row r="48">
      <c r="A48" t="inlineStr">
        <is>
          <t>Soldado (Soldier)|Elmo|T7.4</t>
        </is>
      </c>
      <c r="B48" t="inlineStr">
        <is>
          <t>Soldado (Soldier)</t>
        </is>
      </c>
      <c r="C48" t="inlineStr">
        <is>
          <t>Elmo</t>
        </is>
      </c>
      <c r="D48" t="inlineStr">
        <is>
          <t>T7.4</t>
        </is>
      </c>
      <c r="E48" t="n">
        <v>7</v>
      </c>
      <c r="F48" t="n">
        <v>4</v>
      </c>
      <c r="G48" t="n">
        <v>8</v>
      </c>
      <c r="H48" s="22" t="n"/>
      <c r="I48" s="22" t="n"/>
      <c r="J48" s="22" t="n"/>
      <c r="K48" s="22" t="n"/>
      <c r="L48" s="22" t="n"/>
      <c r="M48" s="22" t="n"/>
      <c r="N48" s="22" t="n"/>
      <c r="O48" s="23">
        <f>IF(COUNT(H48:N48)=0,"",MAX(H48:N48))</f>
        <v/>
      </c>
      <c r="P48" s="24">
        <f>IF(O48="","",INDEX($H$3:$N$3,MATCH(O48,H48:N48,0)))</f>
        <v/>
      </c>
      <c r="Q48" s="23">
        <f>IF(Refino!$L$24="","",G48*Refino!$L$24*(1-RetCraft))</f>
        <v/>
      </c>
      <c r="R48" t="n">
        <v>0</v>
      </c>
      <c r="S48" t="inlineStr">
        <is>
          <t>-</t>
        </is>
      </c>
      <c r="T48" s="25">
        <f>G48*Refino!$D$24</f>
        <v/>
      </c>
      <c r="U48" s="25">
        <f>T48*0.1125*FeeCraft/100</f>
        <v/>
      </c>
      <c r="V48" s="23">
        <f>IF(OR(Q48="",R48=""),"",Q48+R48+U48)</f>
        <v/>
      </c>
      <c r="W48" s="23">
        <f>IF(O48="","",O48*(1-TaxaVenda))</f>
        <v/>
      </c>
      <c r="X48" s="26">
        <f>IF(OR(V48="",W48=""),"",W48-V48)</f>
        <v/>
      </c>
      <c r="Y48" s="27">
        <f>IF(X48="","",X48/V48)</f>
        <v/>
      </c>
    </row>
    <row r="49">
      <c r="A49" t="inlineStr">
        <is>
          <t>Soldado (Soldier)|Elmo|T8.0</t>
        </is>
      </c>
      <c r="B49" t="inlineStr">
        <is>
          <t>Soldado (Soldier)</t>
        </is>
      </c>
      <c r="C49" t="inlineStr">
        <is>
          <t>Elmo</t>
        </is>
      </c>
      <c r="D49" t="inlineStr">
        <is>
          <t>T8.0</t>
        </is>
      </c>
      <c r="E49" t="n">
        <v>8</v>
      </c>
      <c r="F49" t="n">
        <v>0</v>
      </c>
      <c r="G49" t="n">
        <v>8</v>
      </c>
      <c r="H49" s="22" t="n"/>
      <c r="I49" s="22" t="n"/>
      <c r="J49" s="22" t="n"/>
      <c r="K49" s="22" t="n"/>
      <c r="L49" s="22" t="n"/>
      <c r="M49" s="22" t="n"/>
      <c r="N49" s="22" t="n"/>
      <c r="O49" s="23">
        <f>IF(COUNT(H49:N49)=0,"",MAX(H49:N49))</f>
        <v/>
      </c>
      <c r="P49" s="24">
        <f>IF(O49="","",INDEX($H$3:$N$3,MATCH(O49,H49:N49,0)))</f>
        <v/>
      </c>
      <c r="Q49" s="23">
        <f>IF(Refino!$L$25="","",G49*Refino!$L$25*(1-RetCraft))</f>
        <v/>
      </c>
      <c r="R49" t="n">
        <v>0</v>
      </c>
      <c r="S49" t="inlineStr">
        <is>
          <t>-</t>
        </is>
      </c>
      <c r="T49" s="25">
        <f>G49*Refino!$D$25</f>
        <v/>
      </c>
      <c r="U49" s="25">
        <f>T49*0.1125*FeeCraft/100</f>
        <v/>
      </c>
      <c r="V49" s="23">
        <f>IF(OR(Q49="",R49=""),"",Q49+R49+U49)</f>
        <v/>
      </c>
      <c r="W49" s="23">
        <f>IF(O49="","",O49*(1-TaxaVenda))</f>
        <v/>
      </c>
      <c r="X49" s="26">
        <f>IF(OR(V49="",W49=""),"",W49-V49)</f>
        <v/>
      </c>
      <c r="Y49" s="27">
        <f>IF(X49="","",X49/V49)</f>
        <v/>
      </c>
    </row>
    <row r="50">
      <c r="A50" t="inlineStr">
        <is>
          <t>Soldado (Soldier)|Elmo|T8.1</t>
        </is>
      </c>
      <c r="B50" t="inlineStr">
        <is>
          <t>Soldado (Soldier)</t>
        </is>
      </c>
      <c r="C50" t="inlineStr">
        <is>
          <t>Elmo</t>
        </is>
      </c>
      <c r="D50" t="inlineStr">
        <is>
          <t>T8.1</t>
        </is>
      </c>
      <c r="E50" t="n">
        <v>8</v>
      </c>
      <c r="F50" t="n">
        <v>1</v>
      </c>
      <c r="G50" t="n">
        <v>8</v>
      </c>
      <c r="H50" s="22" t="n"/>
      <c r="I50" s="22" t="n"/>
      <c r="J50" s="22" t="n"/>
      <c r="K50" s="22" t="n"/>
      <c r="L50" s="22" t="n"/>
      <c r="M50" s="22" t="n"/>
      <c r="N50" s="22" t="n"/>
      <c r="O50" s="23">
        <f>IF(COUNT(H50:N50)=0,"",MAX(H50:N50))</f>
        <v/>
      </c>
      <c r="P50" s="24">
        <f>IF(O50="","",INDEX($H$3:$N$3,MATCH(O50,H50:N50,0)))</f>
        <v/>
      </c>
      <c r="Q50" s="23">
        <f>IF(Refino!$L$26="","",G50*Refino!$L$26*(1-RetCraft))</f>
        <v/>
      </c>
      <c r="R50" t="n">
        <v>0</v>
      </c>
      <c r="S50" t="inlineStr">
        <is>
          <t>-</t>
        </is>
      </c>
      <c r="T50" s="25">
        <f>G50*Refino!$D$26</f>
        <v/>
      </c>
      <c r="U50" s="25">
        <f>T50*0.1125*FeeCraft/100</f>
        <v/>
      </c>
      <c r="V50" s="23">
        <f>IF(OR(Q50="",R50=""),"",Q50+R50+U50)</f>
        <v/>
      </c>
      <c r="W50" s="23">
        <f>IF(O50="","",O50*(1-TaxaVenda))</f>
        <v/>
      </c>
      <c r="X50" s="26">
        <f>IF(OR(V50="",W50=""),"",W50-V50)</f>
        <v/>
      </c>
      <c r="Y50" s="27">
        <f>IF(X50="","",X50/V50)</f>
        <v/>
      </c>
    </row>
    <row r="51">
      <c r="A51" t="inlineStr">
        <is>
          <t>Soldado (Soldier)|Elmo|T8.2</t>
        </is>
      </c>
      <c r="B51" t="inlineStr">
        <is>
          <t>Soldado (Soldier)</t>
        </is>
      </c>
      <c r="C51" t="inlineStr">
        <is>
          <t>Elmo</t>
        </is>
      </c>
      <c r="D51" t="inlineStr">
        <is>
          <t>T8.2</t>
        </is>
      </c>
      <c r="E51" t="n">
        <v>8</v>
      </c>
      <c r="F51" t="n">
        <v>2</v>
      </c>
      <c r="G51" t="n">
        <v>8</v>
      </c>
      <c r="H51" s="22" t="n"/>
      <c r="I51" s="22" t="n"/>
      <c r="J51" s="22" t="n"/>
      <c r="K51" s="22" t="n"/>
      <c r="L51" s="22" t="n"/>
      <c r="M51" s="22" t="n"/>
      <c r="N51" s="22" t="n"/>
      <c r="O51" s="23">
        <f>IF(COUNT(H51:N51)=0,"",MAX(H51:N51))</f>
        <v/>
      </c>
      <c r="P51" s="24">
        <f>IF(O51="","",INDEX($H$3:$N$3,MATCH(O51,H51:N51,0)))</f>
        <v/>
      </c>
      <c r="Q51" s="23">
        <f>IF(Refino!$L$27="","",G51*Refino!$L$27*(1-RetCraft))</f>
        <v/>
      </c>
      <c r="R51" t="n">
        <v>0</v>
      </c>
      <c r="S51" t="inlineStr">
        <is>
          <t>-</t>
        </is>
      </c>
      <c r="T51" s="25">
        <f>G51*Refino!$D$27</f>
        <v/>
      </c>
      <c r="U51" s="25">
        <f>T51*0.1125*FeeCraft/100</f>
        <v/>
      </c>
      <c r="V51" s="23">
        <f>IF(OR(Q51="",R51=""),"",Q51+R51+U51)</f>
        <v/>
      </c>
      <c r="W51" s="23">
        <f>IF(O51="","",O51*(1-TaxaVenda))</f>
        <v/>
      </c>
      <c r="X51" s="26">
        <f>IF(OR(V51="",W51=""),"",W51-V51)</f>
        <v/>
      </c>
      <c r="Y51" s="27">
        <f>IF(X51="","",X51/V51)</f>
        <v/>
      </c>
    </row>
    <row r="52">
      <c r="A52" t="inlineStr">
        <is>
          <t>Soldado (Soldier)|Elmo|T8.3</t>
        </is>
      </c>
      <c r="B52" t="inlineStr">
        <is>
          <t>Soldado (Soldier)</t>
        </is>
      </c>
      <c r="C52" t="inlineStr">
        <is>
          <t>Elmo</t>
        </is>
      </c>
      <c r="D52" t="inlineStr">
        <is>
          <t>T8.3</t>
        </is>
      </c>
      <c r="E52" t="n">
        <v>8</v>
      </c>
      <c r="F52" t="n">
        <v>3</v>
      </c>
      <c r="G52" t="n">
        <v>8</v>
      </c>
      <c r="H52" s="22" t="n"/>
      <c r="I52" s="22" t="n"/>
      <c r="J52" s="22" t="n"/>
      <c r="K52" s="22" t="n"/>
      <c r="L52" s="22" t="n"/>
      <c r="M52" s="22" t="n"/>
      <c r="N52" s="22" t="n"/>
      <c r="O52" s="23">
        <f>IF(COUNT(H52:N52)=0,"",MAX(H52:N52))</f>
        <v/>
      </c>
      <c r="P52" s="24">
        <f>IF(O52="","",INDEX($H$3:$N$3,MATCH(O52,H52:N52,0)))</f>
        <v/>
      </c>
      <c r="Q52" s="23">
        <f>IF(Refino!$L$28="","",G52*Refino!$L$28*(1-RetCraft))</f>
        <v/>
      </c>
      <c r="R52" t="n">
        <v>0</v>
      </c>
      <c r="S52" t="inlineStr">
        <is>
          <t>-</t>
        </is>
      </c>
      <c r="T52" s="25">
        <f>G52*Refino!$D$28</f>
        <v/>
      </c>
      <c r="U52" s="25">
        <f>T52*0.1125*FeeCraft/100</f>
        <v/>
      </c>
      <c r="V52" s="23">
        <f>IF(OR(Q52="",R52=""),"",Q52+R52+U52)</f>
        <v/>
      </c>
      <c r="W52" s="23">
        <f>IF(O52="","",O52*(1-TaxaVenda))</f>
        <v/>
      </c>
      <c r="X52" s="26">
        <f>IF(OR(V52="",W52=""),"",W52-V52)</f>
        <v/>
      </c>
      <c r="Y52" s="27">
        <f>IF(X52="","",X52/V52)</f>
        <v/>
      </c>
    </row>
    <row r="53">
      <c r="A53" t="inlineStr">
        <is>
          <t>Soldado (Soldier)|Elmo|T8.4</t>
        </is>
      </c>
      <c r="B53" t="inlineStr">
        <is>
          <t>Soldado (Soldier)</t>
        </is>
      </c>
      <c r="C53" t="inlineStr">
        <is>
          <t>Elmo</t>
        </is>
      </c>
      <c r="D53" t="inlineStr">
        <is>
          <t>T8.4</t>
        </is>
      </c>
      <c r="E53" t="n">
        <v>8</v>
      </c>
      <c r="F53" t="n">
        <v>4</v>
      </c>
      <c r="G53" t="n">
        <v>8</v>
      </c>
      <c r="H53" s="22" t="n"/>
      <c r="I53" s="22" t="n"/>
      <c r="J53" s="22" t="n"/>
      <c r="K53" s="22" t="n"/>
      <c r="L53" s="22" t="n"/>
      <c r="M53" s="22" t="n"/>
      <c r="N53" s="22" t="n"/>
      <c r="O53" s="23">
        <f>IF(COUNT(H53:N53)=0,"",MAX(H53:N53))</f>
        <v/>
      </c>
      <c r="P53" s="24">
        <f>IF(O53="","",INDEX($H$3:$N$3,MATCH(O53,H53:N53,0)))</f>
        <v/>
      </c>
      <c r="Q53" s="23">
        <f>IF(Refino!$L$29="","",G53*Refino!$L$29*(1-RetCraft))</f>
        <v/>
      </c>
      <c r="R53" t="n">
        <v>0</v>
      </c>
      <c r="S53" t="inlineStr">
        <is>
          <t>-</t>
        </is>
      </c>
      <c r="T53" s="25">
        <f>G53*Refino!$D$29</f>
        <v/>
      </c>
      <c r="U53" s="25">
        <f>T53*0.1125*FeeCraft/100</f>
        <v/>
      </c>
      <c r="V53" s="23">
        <f>IF(OR(Q53="",R53=""),"",Q53+R53+U53)</f>
        <v/>
      </c>
      <c r="W53" s="23">
        <f>IF(O53="","",O53*(1-TaxaVenda))</f>
        <v/>
      </c>
      <c r="X53" s="26">
        <f>IF(OR(V53="",W53=""),"",W53-V53)</f>
        <v/>
      </c>
      <c r="Y53" s="27">
        <f>IF(X53="","",X53/V53)</f>
        <v/>
      </c>
    </row>
    <row r="54">
      <c r="A54" t="inlineStr">
        <is>
          <t>Soldado (Soldier)|Botas|T4.0</t>
        </is>
      </c>
      <c r="B54" t="inlineStr">
        <is>
          <t>Soldado (Soldier)</t>
        </is>
      </c>
      <c r="C54" t="inlineStr">
        <is>
          <t>Botas</t>
        </is>
      </c>
      <c r="D54" t="inlineStr">
        <is>
          <t>T4.0</t>
        </is>
      </c>
      <c r="E54" t="n">
        <v>4</v>
      </c>
      <c r="F54" t="n">
        <v>0</v>
      </c>
      <c r="G54" t="n">
        <v>8</v>
      </c>
      <c r="H54" s="22" t="n"/>
      <c r="I54" s="22" t="n"/>
      <c r="J54" s="22" t="n"/>
      <c r="K54" s="22" t="n"/>
      <c r="L54" s="22" t="n"/>
      <c r="M54" s="22" t="n"/>
      <c r="N54" s="22" t="n"/>
      <c r="O54" s="23">
        <f>IF(COUNT(H54:N54)=0,"",MAX(H54:N54))</f>
        <v/>
      </c>
      <c r="P54" s="24">
        <f>IF(O54="","",INDEX($H$3:$N$3,MATCH(O54,H54:N54,0)))</f>
        <v/>
      </c>
      <c r="Q54" s="23">
        <f>IF(Refino!$L$5="","",G54*Refino!$L$5*(1-RetCraft))</f>
        <v/>
      </c>
      <c r="R54" t="n">
        <v>0</v>
      </c>
      <c r="S54" t="inlineStr">
        <is>
          <t>-</t>
        </is>
      </c>
      <c r="T54" s="25">
        <f>G54*Refino!$D$5</f>
        <v/>
      </c>
      <c r="U54" s="25">
        <f>T54*0.1125*FeeCraft/100</f>
        <v/>
      </c>
      <c r="V54" s="23">
        <f>IF(OR(Q54="",R54=""),"",Q54+R54+U54)</f>
        <v/>
      </c>
      <c r="W54" s="23">
        <f>IF(O54="","",O54*(1-TaxaVenda))</f>
        <v/>
      </c>
      <c r="X54" s="26">
        <f>IF(OR(V54="",W54=""),"",W54-V54)</f>
        <v/>
      </c>
      <c r="Y54" s="27">
        <f>IF(X54="","",X54/V54)</f>
        <v/>
      </c>
    </row>
    <row r="55">
      <c r="A55" t="inlineStr">
        <is>
          <t>Soldado (Soldier)|Botas|T4.1</t>
        </is>
      </c>
      <c r="B55" t="inlineStr">
        <is>
          <t>Soldado (Soldier)</t>
        </is>
      </c>
      <c r="C55" t="inlineStr">
        <is>
          <t>Botas</t>
        </is>
      </c>
      <c r="D55" t="inlineStr">
        <is>
          <t>T4.1</t>
        </is>
      </c>
      <c r="E55" t="n">
        <v>4</v>
      </c>
      <c r="F55" t="n">
        <v>1</v>
      </c>
      <c r="G55" t="n">
        <v>8</v>
      </c>
      <c r="H55" s="22" t="n"/>
      <c r="I55" s="22" t="n"/>
      <c r="J55" s="22" t="n"/>
      <c r="K55" s="22" t="n"/>
      <c r="L55" s="22" t="n"/>
      <c r="M55" s="22" t="n"/>
      <c r="N55" s="22" t="n"/>
      <c r="O55" s="23">
        <f>IF(COUNT(H55:N55)=0,"",MAX(H55:N55))</f>
        <v/>
      </c>
      <c r="P55" s="24">
        <f>IF(O55="","",INDEX($H$3:$N$3,MATCH(O55,H55:N55,0)))</f>
        <v/>
      </c>
      <c r="Q55" s="23">
        <f>IF(Refino!$L$6="","",G55*Refino!$L$6*(1-RetCraft))</f>
        <v/>
      </c>
      <c r="R55" t="n">
        <v>0</v>
      </c>
      <c r="S55" t="inlineStr">
        <is>
          <t>-</t>
        </is>
      </c>
      <c r="T55" s="25">
        <f>G55*Refino!$D$6</f>
        <v/>
      </c>
      <c r="U55" s="25">
        <f>T55*0.1125*FeeCraft/100</f>
        <v/>
      </c>
      <c r="V55" s="23">
        <f>IF(OR(Q55="",R55=""),"",Q55+R55+U55)</f>
        <v/>
      </c>
      <c r="W55" s="23">
        <f>IF(O55="","",O55*(1-TaxaVenda))</f>
        <v/>
      </c>
      <c r="X55" s="26">
        <f>IF(OR(V55="",W55=""),"",W55-V55)</f>
        <v/>
      </c>
      <c r="Y55" s="27">
        <f>IF(X55="","",X55/V55)</f>
        <v/>
      </c>
    </row>
    <row r="56">
      <c r="A56" t="inlineStr">
        <is>
          <t>Soldado (Soldier)|Botas|T4.2</t>
        </is>
      </c>
      <c r="B56" t="inlineStr">
        <is>
          <t>Soldado (Soldier)</t>
        </is>
      </c>
      <c r="C56" t="inlineStr">
        <is>
          <t>Botas</t>
        </is>
      </c>
      <c r="D56" t="inlineStr">
        <is>
          <t>T4.2</t>
        </is>
      </c>
      <c r="E56" t="n">
        <v>4</v>
      </c>
      <c r="F56" t="n">
        <v>2</v>
      </c>
      <c r="G56" t="n">
        <v>8</v>
      </c>
      <c r="H56" s="22" t="n"/>
      <c r="I56" s="22" t="n"/>
      <c r="J56" s="22" t="n"/>
      <c r="K56" s="22" t="n"/>
      <c r="L56" s="22" t="n"/>
      <c r="M56" s="22" t="n"/>
      <c r="N56" s="22" t="n"/>
      <c r="O56" s="23">
        <f>IF(COUNT(H56:N56)=0,"",MAX(H56:N56))</f>
        <v/>
      </c>
      <c r="P56" s="24">
        <f>IF(O56="","",INDEX($H$3:$N$3,MATCH(O56,H56:N56,0)))</f>
        <v/>
      </c>
      <c r="Q56" s="23">
        <f>IF(Refino!$L$7="","",G56*Refino!$L$7*(1-RetCraft))</f>
        <v/>
      </c>
      <c r="R56" t="n">
        <v>0</v>
      </c>
      <c r="S56" t="inlineStr">
        <is>
          <t>-</t>
        </is>
      </c>
      <c r="T56" s="25">
        <f>G56*Refino!$D$7</f>
        <v/>
      </c>
      <c r="U56" s="25">
        <f>T56*0.1125*FeeCraft/100</f>
        <v/>
      </c>
      <c r="V56" s="23">
        <f>IF(OR(Q56="",R56=""),"",Q56+R56+U56)</f>
        <v/>
      </c>
      <c r="W56" s="23">
        <f>IF(O56="","",O56*(1-TaxaVenda))</f>
        <v/>
      </c>
      <c r="X56" s="26">
        <f>IF(OR(V56="",W56=""),"",W56-V56)</f>
        <v/>
      </c>
      <c r="Y56" s="27">
        <f>IF(X56="","",X56/V56)</f>
        <v/>
      </c>
    </row>
    <row r="57">
      <c r="A57" t="inlineStr">
        <is>
          <t>Soldado (Soldier)|Botas|T4.3</t>
        </is>
      </c>
      <c r="B57" t="inlineStr">
        <is>
          <t>Soldado (Soldier)</t>
        </is>
      </c>
      <c r="C57" t="inlineStr">
        <is>
          <t>Botas</t>
        </is>
      </c>
      <c r="D57" t="inlineStr">
        <is>
          <t>T4.3</t>
        </is>
      </c>
      <c r="E57" t="n">
        <v>4</v>
      </c>
      <c r="F57" t="n">
        <v>3</v>
      </c>
      <c r="G57" t="n">
        <v>8</v>
      </c>
      <c r="H57" s="22" t="n"/>
      <c r="I57" s="22" t="n"/>
      <c r="J57" s="22" t="n"/>
      <c r="K57" s="22" t="n"/>
      <c r="L57" s="22" t="n"/>
      <c r="M57" s="22" t="n"/>
      <c r="N57" s="22" t="n"/>
      <c r="O57" s="23">
        <f>IF(COUNT(H57:N57)=0,"",MAX(H57:N57))</f>
        <v/>
      </c>
      <c r="P57" s="24">
        <f>IF(O57="","",INDEX($H$3:$N$3,MATCH(O57,H57:N57,0)))</f>
        <v/>
      </c>
      <c r="Q57" s="23">
        <f>IF(Refino!$L$8="","",G57*Refino!$L$8*(1-RetCraft))</f>
        <v/>
      </c>
      <c r="R57" t="n">
        <v>0</v>
      </c>
      <c r="S57" t="inlineStr">
        <is>
          <t>-</t>
        </is>
      </c>
      <c r="T57" s="25">
        <f>G57*Refino!$D$8</f>
        <v/>
      </c>
      <c r="U57" s="25">
        <f>T57*0.1125*FeeCraft/100</f>
        <v/>
      </c>
      <c r="V57" s="23">
        <f>IF(OR(Q57="",R57=""),"",Q57+R57+U57)</f>
        <v/>
      </c>
      <c r="W57" s="23">
        <f>IF(O57="","",O57*(1-TaxaVenda))</f>
        <v/>
      </c>
      <c r="X57" s="26">
        <f>IF(OR(V57="",W57=""),"",W57-V57)</f>
        <v/>
      </c>
      <c r="Y57" s="27">
        <f>IF(X57="","",X57/V57)</f>
        <v/>
      </c>
    </row>
    <row r="58">
      <c r="A58" t="inlineStr">
        <is>
          <t>Soldado (Soldier)|Botas|T4.4</t>
        </is>
      </c>
      <c r="B58" t="inlineStr">
        <is>
          <t>Soldado (Soldier)</t>
        </is>
      </c>
      <c r="C58" t="inlineStr">
        <is>
          <t>Botas</t>
        </is>
      </c>
      <c r="D58" t="inlineStr">
        <is>
          <t>T4.4</t>
        </is>
      </c>
      <c r="E58" t="n">
        <v>4</v>
      </c>
      <c r="F58" t="n">
        <v>4</v>
      </c>
      <c r="G58" t="n">
        <v>8</v>
      </c>
      <c r="H58" s="22" t="n"/>
      <c r="I58" s="22" t="n"/>
      <c r="J58" s="22" t="n"/>
      <c r="K58" s="22" t="n"/>
      <c r="L58" s="22" t="n"/>
      <c r="M58" s="22" t="n"/>
      <c r="N58" s="22" t="n"/>
      <c r="O58" s="23">
        <f>IF(COUNT(H58:N58)=0,"",MAX(H58:N58))</f>
        <v/>
      </c>
      <c r="P58" s="24">
        <f>IF(O58="","",INDEX($H$3:$N$3,MATCH(O58,H58:N58,0)))</f>
        <v/>
      </c>
      <c r="Q58" s="23">
        <f>IF(Refino!$L$9="","",G58*Refino!$L$9*(1-RetCraft))</f>
        <v/>
      </c>
      <c r="R58" t="n">
        <v>0</v>
      </c>
      <c r="S58" t="inlineStr">
        <is>
          <t>-</t>
        </is>
      </c>
      <c r="T58" s="25">
        <f>G58*Refino!$D$9</f>
        <v/>
      </c>
      <c r="U58" s="25">
        <f>T58*0.1125*FeeCraft/100</f>
        <v/>
      </c>
      <c r="V58" s="23">
        <f>IF(OR(Q58="",R58=""),"",Q58+R58+U58)</f>
        <v/>
      </c>
      <c r="W58" s="23">
        <f>IF(O58="","",O58*(1-TaxaVenda))</f>
        <v/>
      </c>
      <c r="X58" s="26">
        <f>IF(OR(V58="",W58=""),"",W58-V58)</f>
        <v/>
      </c>
      <c r="Y58" s="27">
        <f>IF(X58="","",X58/V58)</f>
        <v/>
      </c>
    </row>
    <row r="59">
      <c r="A59" t="inlineStr">
        <is>
          <t>Soldado (Soldier)|Botas|T5.0</t>
        </is>
      </c>
      <c r="B59" t="inlineStr">
        <is>
          <t>Soldado (Soldier)</t>
        </is>
      </c>
      <c r="C59" t="inlineStr">
        <is>
          <t>Botas</t>
        </is>
      </c>
      <c r="D59" t="inlineStr">
        <is>
          <t>T5.0</t>
        </is>
      </c>
      <c r="E59" t="n">
        <v>5</v>
      </c>
      <c r="F59" t="n">
        <v>0</v>
      </c>
      <c r="G59" t="n">
        <v>8</v>
      </c>
      <c r="H59" s="22" t="n"/>
      <c r="I59" s="22" t="n"/>
      <c r="J59" s="22" t="n"/>
      <c r="K59" s="22" t="n"/>
      <c r="L59" s="22" t="n"/>
      <c r="M59" s="22" t="n"/>
      <c r="N59" s="22" t="n"/>
      <c r="O59" s="23">
        <f>IF(COUNT(H59:N59)=0,"",MAX(H59:N59))</f>
        <v/>
      </c>
      <c r="P59" s="24">
        <f>IF(O59="","",INDEX($H$3:$N$3,MATCH(O59,H59:N59,0)))</f>
        <v/>
      </c>
      <c r="Q59" s="23">
        <f>IF(Refino!$L$10="","",G59*Refino!$L$10*(1-RetCraft))</f>
        <v/>
      </c>
      <c r="R59" t="n">
        <v>0</v>
      </c>
      <c r="S59" t="inlineStr">
        <is>
          <t>-</t>
        </is>
      </c>
      <c r="T59" s="25">
        <f>G59*Refino!$D$10</f>
        <v/>
      </c>
      <c r="U59" s="25">
        <f>T59*0.1125*FeeCraft/100</f>
        <v/>
      </c>
      <c r="V59" s="23">
        <f>IF(OR(Q59="",R59=""),"",Q59+R59+U59)</f>
        <v/>
      </c>
      <c r="W59" s="23">
        <f>IF(O59="","",O59*(1-TaxaVenda))</f>
        <v/>
      </c>
      <c r="X59" s="26">
        <f>IF(OR(V59="",W59=""),"",W59-V59)</f>
        <v/>
      </c>
      <c r="Y59" s="27">
        <f>IF(X59="","",X59/V59)</f>
        <v/>
      </c>
    </row>
    <row r="60">
      <c r="A60" t="inlineStr">
        <is>
          <t>Soldado (Soldier)|Botas|T5.1</t>
        </is>
      </c>
      <c r="B60" t="inlineStr">
        <is>
          <t>Soldado (Soldier)</t>
        </is>
      </c>
      <c r="C60" t="inlineStr">
        <is>
          <t>Botas</t>
        </is>
      </c>
      <c r="D60" t="inlineStr">
        <is>
          <t>T5.1</t>
        </is>
      </c>
      <c r="E60" t="n">
        <v>5</v>
      </c>
      <c r="F60" t="n">
        <v>1</v>
      </c>
      <c r="G60" t="n">
        <v>8</v>
      </c>
      <c r="H60" s="22" t="n"/>
      <c r="I60" s="22" t="n"/>
      <c r="J60" s="22" t="n"/>
      <c r="K60" s="22" t="n"/>
      <c r="L60" s="22" t="n"/>
      <c r="M60" s="22" t="n"/>
      <c r="N60" s="22" t="n"/>
      <c r="O60" s="23">
        <f>IF(COUNT(H60:N60)=0,"",MAX(H60:N60))</f>
        <v/>
      </c>
      <c r="P60" s="24">
        <f>IF(O60="","",INDEX($H$3:$N$3,MATCH(O60,H60:N60,0)))</f>
        <v/>
      </c>
      <c r="Q60" s="23">
        <f>IF(Refino!$L$11="","",G60*Refino!$L$11*(1-RetCraft))</f>
        <v/>
      </c>
      <c r="R60" t="n">
        <v>0</v>
      </c>
      <c r="S60" t="inlineStr">
        <is>
          <t>-</t>
        </is>
      </c>
      <c r="T60" s="25">
        <f>G60*Refino!$D$11</f>
        <v/>
      </c>
      <c r="U60" s="25">
        <f>T60*0.1125*FeeCraft/100</f>
        <v/>
      </c>
      <c r="V60" s="23">
        <f>IF(OR(Q60="",R60=""),"",Q60+R60+U60)</f>
        <v/>
      </c>
      <c r="W60" s="23">
        <f>IF(O60="","",O60*(1-TaxaVenda))</f>
        <v/>
      </c>
      <c r="X60" s="26">
        <f>IF(OR(V60="",W60=""),"",W60-V60)</f>
        <v/>
      </c>
      <c r="Y60" s="27">
        <f>IF(X60="","",X60/V60)</f>
        <v/>
      </c>
    </row>
    <row r="61">
      <c r="A61" t="inlineStr">
        <is>
          <t>Soldado (Soldier)|Botas|T5.2</t>
        </is>
      </c>
      <c r="B61" t="inlineStr">
        <is>
          <t>Soldado (Soldier)</t>
        </is>
      </c>
      <c r="C61" t="inlineStr">
        <is>
          <t>Botas</t>
        </is>
      </c>
      <c r="D61" t="inlineStr">
        <is>
          <t>T5.2</t>
        </is>
      </c>
      <c r="E61" t="n">
        <v>5</v>
      </c>
      <c r="F61" t="n">
        <v>2</v>
      </c>
      <c r="G61" t="n">
        <v>8</v>
      </c>
      <c r="H61" s="22" t="n"/>
      <c r="I61" s="22" t="n"/>
      <c r="J61" s="22" t="n"/>
      <c r="K61" s="22" t="n"/>
      <c r="L61" s="22" t="n"/>
      <c r="M61" s="22" t="n"/>
      <c r="N61" s="22" t="n"/>
      <c r="O61" s="23">
        <f>IF(COUNT(H61:N61)=0,"",MAX(H61:N61))</f>
        <v/>
      </c>
      <c r="P61" s="24">
        <f>IF(O61="","",INDEX($H$3:$N$3,MATCH(O61,H61:N61,0)))</f>
        <v/>
      </c>
      <c r="Q61" s="23">
        <f>IF(Refino!$L$12="","",G61*Refino!$L$12*(1-RetCraft))</f>
        <v/>
      </c>
      <c r="R61" t="n">
        <v>0</v>
      </c>
      <c r="S61" t="inlineStr">
        <is>
          <t>-</t>
        </is>
      </c>
      <c r="T61" s="25">
        <f>G61*Refino!$D$12</f>
        <v/>
      </c>
      <c r="U61" s="25">
        <f>T61*0.1125*FeeCraft/100</f>
        <v/>
      </c>
      <c r="V61" s="23">
        <f>IF(OR(Q61="",R61=""),"",Q61+R61+U61)</f>
        <v/>
      </c>
      <c r="W61" s="23">
        <f>IF(O61="","",O61*(1-TaxaVenda))</f>
        <v/>
      </c>
      <c r="X61" s="26">
        <f>IF(OR(V61="",W61=""),"",W61-V61)</f>
        <v/>
      </c>
      <c r="Y61" s="27">
        <f>IF(X61="","",X61/V61)</f>
        <v/>
      </c>
    </row>
    <row r="62">
      <c r="A62" t="inlineStr">
        <is>
          <t>Soldado (Soldier)|Botas|T5.3</t>
        </is>
      </c>
      <c r="B62" t="inlineStr">
        <is>
          <t>Soldado (Soldier)</t>
        </is>
      </c>
      <c r="C62" t="inlineStr">
        <is>
          <t>Botas</t>
        </is>
      </c>
      <c r="D62" t="inlineStr">
        <is>
          <t>T5.3</t>
        </is>
      </c>
      <c r="E62" t="n">
        <v>5</v>
      </c>
      <c r="F62" t="n">
        <v>3</v>
      </c>
      <c r="G62" t="n">
        <v>8</v>
      </c>
      <c r="H62" s="22" t="n"/>
      <c r="I62" s="22" t="n"/>
      <c r="J62" s="22" t="n"/>
      <c r="K62" s="22" t="n"/>
      <c r="L62" s="22" t="n"/>
      <c r="M62" s="22" t="n"/>
      <c r="N62" s="22" t="n"/>
      <c r="O62" s="23">
        <f>IF(COUNT(H62:N62)=0,"",MAX(H62:N62))</f>
        <v/>
      </c>
      <c r="P62" s="24">
        <f>IF(O62="","",INDEX($H$3:$N$3,MATCH(O62,H62:N62,0)))</f>
        <v/>
      </c>
      <c r="Q62" s="23">
        <f>IF(Refino!$L$13="","",G62*Refino!$L$13*(1-RetCraft))</f>
        <v/>
      </c>
      <c r="R62" t="n">
        <v>0</v>
      </c>
      <c r="S62" t="inlineStr">
        <is>
          <t>-</t>
        </is>
      </c>
      <c r="T62" s="25">
        <f>G62*Refino!$D$13</f>
        <v/>
      </c>
      <c r="U62" s="25">
        <f>T62*0.1125*FeeCraft/100</f>
        <v/>
      </c>
      <c r="V62" s="23">
        <f>IF(OR(Q62="",R62=""),"",Q62+R62+U62)</f>
        <v/>
      </c>
      <c r="W62" s="23">
        <f>IF(O62="","",O62*(1-TaxaVenda))</f>
        <v/>
      </c>
      <c r="X62" s="26">
        <f>IF(OR(V62="",W62=""),"",W62-V62)</f>
        <v/>
      </c>
      <c r="Y62" s="27">
        <f>IF(X62="","",X62/V62)</f>
        <v/>
      </c>
    </row>
    <row r="63">
      <c r="A63" t="inlineStr">
        <is>
          <t>Soldado (Soldier)|Botas|T5.4</t>
        </is>
      </c>
      <c r="B63" t="inlineStr">
        <is>
          <t>Soldado (Soldier)</t>
        </is>
      </c>
      <c r="C63" t="inlineStr">
        <is>
          <t>Botas</t>
        </is>
      </c>
      <c r="D63" t="inlineStr">
        <is>
          <t>T5.4</t>
        </is>
      </c>
      <c r="E63" t="n">
        <v>5</v>
      </c>
      <c r="F63" t="n">
        <v>4</v>
      </c>
      <c r="G63" t="n">
        <v>8</v>
      </c>
      <c r="H63" s="22" t="n"/>
      <c r="I63" s="22" t="n"/>
      <c r="J63" s="22" t="n"/>
      <c r="K63" s="22" t="n"/>
      <c r="L63" s="22" t="n"/>
      <c r="M63" s="22" t="n"/>
      <c r="N63" s="22" t="n"/>
      <c r="O63" s="23">
        <f>IF(COUNT(H63:N63)=0,"",MAX(H63:N63))</f>
        <v/>
      </c>
      <c r="P63" s="24">
        <f>IF(O63="","",INDEX($H$3:$N$3,MATCH(O63,H63:N63,0)))</f>
        <v/>
      </c>
      <c r="Q63" s="23">
        <f>IF(Refino!$L$14="","",G63*Refino!$L$14*(1-RetCraft))</f>
        <v/>
      </c>
      <c r="R63" t="n">
        <v>0</v>
      </c>
      <c r="S63" t="inlineStr">
        <is>
          <t>-</t>
        </is>
      </c>
      <c r="T63" s="25">
        <f>G63*Refino!$D$14</f>
        <v/>
      </c>
      <c r="U63" s="25">
        <f>T63*0.1125*FeeCraft/100</f>
        <v/>
      </c>
      <c r="V63" s="23">
        <f>IF(OR(Q63="",R63=""),"",Q63+R63+U63)</f>
        <v/>
      </c>
      <c r="W63" s="23">
        <f>IF(O63="","",O63*(1-TaxaVenda))</f>
        <v/>
      </c>
      <c r="X63" s="26">
        <f>IF(OR(V63="",W63=""),"",W63-V63)</f>
        <v/>
      </c>
      <c r="Y63" s="27">
        <f>IF(X63="","",X63/V63)</f>
        <v/>
      </c>
    </row>
    <row r="64">
      <c r="A64" t="inlineStr">
        <is>
          <t>Soldado (Soldier)|Botas|T6.0</t>
        </is>
      </c>
      <c r="B64" t="inlineStr">
        <is>
          <t>Soldado (Soldier)</t>
        </is>
      </c>
      <c r="C64" t="inlineStr">
        <is>
          <t>Botas</t>
        </is>
      </c>
      <c r="D64" t="inlineStr">
        <is>
          <t>T6.0</t>
        </is>
      </c>
      <c r="E64" t="n">
        <v>6</v>
      </c>
      <c r="F64" t="n">
        <v>0</v>
      </c>
      <c r="G64" t="n">
        <v>8</v>
      </c>
      <c r="H64" s="22" t="n"/>
      <c r="I64" s="22" t="n"/>
      <c r="J64" s="22" t="n"/>
      <c r="K64" s="22" t="n"/>
      <c r="L64" s="22" t="n"/>
      <c r="M64" s="22" t="n"/>
      <c r="N64" s="22" t="n"/>
      <c r="O64" s="23">
        <f>IF(COUNT(H64:N64)=0,"",MAX(H64:N64))</f>
        <v/>
      </c>
      <c r="P64" s="24">
        <f>IF(O64="","",INDEX($H$3:$N$3,MATCH(O64,H64:N64,0)))</f>
        <v/>
      </c>
      <c r="Q64" s="23">
        <f>IF(Refino!$L$15="","",G64*Refino!$L$15*(1-RetCraft))</f>
        <v/>
      </c>
      <c r="R64" t="n">
        <v>0</v>
      </c>
      <c r="S64" t="inlineStr">
        <is>
          <t>-</t>
        </is>
      </c>
      <c r="T64" s="25">
        <f>G64*Refino!$D$15</f>
        <v/>
      </c>
      <c r="U64" s="25">
        <f>T64*0.1125*FeeCraft/100</f>
        <v/>
      </c>
      <c r="V64" s="23">
        <f>IF(OR(Q64="",R64=""),"",Q64+R64+U64)</f>
        <v/>
      </c>
      <c r="W64" s="23">
        <f>IF(O64="","",O64*(1-TaxaVenda))</f>
        <v/>
      </c>
      <c r="X64" s="26">
        <f>IF(OR(V64="",W64=""),"",W64-V64)</f>
        <v/>
      </c>
      <c r="Y64" s="27">
        <f>IF(X64="","",X64/V64)</f>
        <v/>
      </c>
    </row>
    <row r="65">
      <c r="A65" t="inlineStr">
        <is>
          <t>Soldado (Soldier)|Botas|T6.1</t>
        </is>
      </c>
      <c r="B65" t="inlineStr">
        <is>
          <t>Soldado (Soldier)</t>
        </is>
      </c>
      <c r="C65" t="inlineStr">
        <is>
          <t>Botas</t>
        </is>
      </c>
      <c r="D65" t="inlineStr">
        <is>
          <t>T6.1</t>
        </is>
      </c>
      <c r="E65" t="n">
        <v>6</v>
      </c>
      <c r="F65" t="n">
        <v>1</v>
      </c>
      <c r="G65" t="n">
        <v>8</v>
      </c>
      <c r="H65" s="22" t="n"/>
      <c r="I65" s="22" t="n"/>
      <c r="J65" s="22" t="n"/>
      <c r="K65" s="22" t="n"/>
      <c r="L65" s="22" t="n"/>
      <c r="M65" s="22" t="n"/>
      <c r="N65" s="22" t="n"/>
      <c r="O65" s="23">
        <f>IF(COUNT(H65:N65)=0,"",MAX(H65:N65))</f>
        <v/>
      </c>
      <c r="P65" s="24">
        <f>IF(O65="","",INDEX($H$3:$N$3,MATCH(O65,H65:N65,0)))</f>
        <v/>
      </c>
      <c r="Q65" s="23">
        <f>IF(Refino!$L$16="","",G65*Refino!$L$16*(1-RetCraft))</f>
        <v/>
      </c>
      <c r="R65" t="n">
        <v>0</v>
      </c>
      <c r="S65" t="inlineStr">
        <is>
          <t>-</t>
        </is>
      </c>
      <c r="T65" s="25">
        <f>G65*Refino!$D$16</f>
        <v/>
      </c>
      <c r="U65" s="25">
        <f>T65*0.1125*FeeCraft/100</f>
        <v/>
      </c>
      <c r="V65" s="23">
        <f>IF(OR(Q65="",R65=""),"",Q65+R65+U65)</f>
        <v/>
      </c>
      <c r="W65" s="23">
        <f>IF(O65="","",O65*(1-TaxaVenda))</f>
        <v/>
      </c>
      <c r="X65" s="26">
        <f>IF(OR(V65="",W65=""),"",W65-V65)</f>
        <v/>
      </c>
      <c r="Y65" s="27">
        <f>IF(X65="","",X65/V65)</f>
        <v/>
      </c>
    </row>
    <row r="66">
      <c r="A66" t="inlineStr">
        <is>
          <t>Soldado (Soldier)|Botas|T6.2</t>
        </is>
      </c>
      <c r="B66" t="inlineStr">
        <is>
          <t>Soldado (Soldier)</t>
        </is>
      </c>
      <c r="C66" t="inlineStr">
        <is>
          <t>Botas</t>
        </is>
      </c>
      <c r="D66" t="inlineStr">
        <is>
          <t>T6.2</t>
        </is>
      </c>
      <c r="E66" t="n">
        <v>6</v>
      </c>
      <c r="F66" t="n">
        <v>2</v>
      </c>
      <c r="G66" t="n">
        <v>8</v>
      </c>
      <c r="H66" s="22" t="n"/>
      <c r="I66" s="22" t="n"/>
      <c r="J66" s="22" t="n"/>
      <c r="K66" s="22" t="n"/>
      <c r="L66" s="22" t="n"/>
      <c r="M66" s="22" t="n"/>
      <c r="N66" s="22" t="n"/>
      <c r="O66" s="23">
        <f>IF(COUNT(H66:N66)=0,"",MAX(H66:N66))</f>
        <v/>
      </c>
      <c r="P66" s="24">
        <f>IF(O66="","",INDEX($H$3:$N$3,MATCH(O66,H66:N66,0)))</f>
        <v/>
      </c>
      <c r="Q66" s="23">
        <f>IF(Refino!$L$17="","",G66*Refino!$L$17*(1-RetCraft))</f>
        <v/>
      </c>
      <c r="R66" t="n">
        <v>0</v>
      </c>
      <c r="S66" t="inlineStr">
        <is>
          <t>-</t>
        </is>
      </c>
      <c r="T66" s="25">
        <f>G66*Refino!$D$17</f>
        <v/>
      </c>
      <c r="U66" s="25">
        <f>T66*0.1125*FeeCraft/100</f>
        <v/>
      </c>
      <c r="V66" s="23">
        <f>IF(OR(Q66="",R66=""),"",Q66+R66+U66)</f>
        <v/>
      </c>
      <c r="W66" s="23">
        <f>IF(O66="","",O66*(1-TaxaVenda))</f>
        <v/>
      </c>
      <c r="X66" s="26">
        <f>IF(OR(V66="",W66=""),"",W66-V66)</f>
        <v/>
      </c>
      <c r="Y66" s="27">
        <f>IF(X66="","",X66/V66)</f>
        <v/>
      </c>
    </row>
    <row r="67">
      <c r="A67" t="inlineStr">
        <is>
          <t>Soldado (Soldier)|Botas|T6.3</t>
        </is>
      </c>
      <c r="B67" t="inlineStr">
        <is>
          <t>Soldado (Soldier)</t>
        </is>
      </c>
      <c r="C67" t="inlineStr">
        <is>
          <t>Botas</t>
        </is>
      </c>
      <c r="D67" t="inlineStr">
        <is>
          <t>T6.3</t>
        </is>
      </c>
      <c r="E67" t="n">
        <v>6</v>
      </c>
      <c r="F67" t="n">
        <v>3</v>
      </c>
      <c r="G67" t="n">
        <v>8</v>
      </c>
      <c r="H67" s="22" t="n"/>
      <c r="I67" s="22" t="n"/>
      <c r="J67" s="22" t="n"/>
      <c r="K67" s="22" t="n"/>
      <c r="L67" s="22" t="n"/>
      <c r="M67" s="22" t="n"/>
      <c r="N67" s="22" t="n"/>
      <c r="O67" s="23">
        <f>IF(COUNT(H67:N67)=0,"",MAX(H67:N67))</f>
        <v/>
      </c>
      <c r="P67" s="24">
        <f>IF(O67="","",INDEX($H$3:$N$3,MATCH(O67,H67:N67,0)))</f>
        <v/>
      </c>
      <c r="Q67" s="23">
        <f>IF(Refino!$L$18="","",G67*Refino!$L$18*(1-RetCraft))</f>
        <v/>
      </c>
      <c r="R67" t="n">
        <v>0</v>
      </c>
      <c r="S67" t="inlineStr">
        <is>
          <t>-</t>
        </is>
      </c>
      <c r="T67" s="25">
        <f>G67*Refino!$D$18</f>
        <v/>
      </c>
      <c r="U67" s="25">
        <f>T67*0.1125*FeeCraft/100</f>
        <v/>
      </c>
      <c r="V67" s="23">
        <f>IF(OR(Q67="",R67=""),"",Q67+R67+U67)</f>
        <v/>
      </c>
      <c r="W67" s="23">
        <f>IF(O67="","",O67*(1-TaxaVenda))</f>
        <v/>
      </c>
      <c r="X67" s="26">
        <f>IF(OR(V67="",W67=""),"",W67-V67)</f>
        <v/>
      </c>
      <c r="Y67" s="27">
        <f>IF(X67="","",X67/V67)</f>
        <v/>
      </c>
    </row>
    <row r="68">
      <c r="A68" t="inlineStr">
        <is>
          <t>Soldado (Soldier)|Botas|T6.4</t>
        </is>
      </c>
      <c r="B68" t="inlineStr">
        <is>
          <t>Soldado (Soldier)</t>
        </is>
      </c>
      <c r="C68" t="inlineStr">
        <is>
          <t>Botas</t>
        </is>
      </c>
      <c r="D68" t="inlineStr">
        <is>
          <t>T6.4</t>
        </is>
      </c>
      <c r="E68" t="n">
        <v>6</v>
      </c>
      <c r="F68" t="n">
        <v>4</v>
      </c>
      <c r="G68" t="n">
        <v>8</v>
      </c>
      <c r="H68" s="22" t="n"/>
      <c r="I68" s="22" t="n"/>
      <c r="J68" s="22" t="n"/>
      <c r="K68" s="22" t="n"/>
      <c r="L68" s="22" t="n"/>
      <c r="M68" s="22" t="n"/>
      <c r="N68" s="22" t="n"/>
      <c r="O68" s="23">
        <f>IF(COUNT(H68:N68)=0,"",MAX(H68:N68))</f>
        <v/>
      </c>
      <c r="P68" s="24">
        <f>IF(O68="","",INDEX($H$3:$N$3,MATCH(O68,H68:N68,0)))</f>
        <v/>
      </c>
      <c r="Q68" s="23">
        <f>IF(Refino!$L$19="","",G68*Refino!$L$19*(1-RetCraft))</f>
        <v/>
      </c>
      <c r="R68" t="n">
        <v>0</v>
      </c>
      <c r="S68" t="inlineStr">
        <is>
          <t>-</t>
        </is>
      </c>
      <c r="T68" s="25">
        <f>G68*Refino!$D$19</f>
        <v/>
      </c>
      <c r="U68" s="25">
        <f>T68*0.1125*FeeCraft/100</f>
        <v/>
      </c>
      <c r="V68" s="23">
        <f>IF(OR(Q68="",R68=""),"",Q68+R68+U68)</f>
        <v/>
      </c>
      <c r="W68" s="23">
        <f>IF(O68="","",O68*(1-TaxaVenda))</f>
        <v/>
      </c>
      <c r="X68" s="26">
        <f>IF(OR(V68="",W68=""),"",W68-V68)</f>
        <v/>
      </c>
      <c r="Y68" s="27">
        <f>IF(X68="","",X68/V68)</f>
        <v/>
      </c>
    </row>
    <row r="69">
      <c r="A69" t="inlineStr">
        <is>
          <t>Soldado (Soldier)|Botas|T7.0</t>
        </is>
      </c>
      <c r="B69" t="inlineStr">
        <is>
          <t>Soldado (Soldier)</t>
        </is>
      </c>
      <c r="C69" t="inlineStr">
        <is>
          <t>Botas</t>
        </is>
      </c>
      <c r="D69" t="inlineStr">
        <is>
          <t>T7.0</t>
        </is>
      </c>
      <c r="E69" t="n">
        <v>7</v>
      </c>
      <c r="F69" t="n">
        <v>0</v>
      </c>
      <c r="G69" t="n">
        <v>8</v>
      </c>
      <c r="H69" s="22" t="n"/>
      <c r="I69" s="22" t="n"/>
      <c r="J69" s="22" t="n"/>
      <c r="K69" s="22" t="n"/>
      <c r="L69" s="22" t="n"/>
      <c r="M69" s="22" t="n"/>
      <c r="N69" s="22" t="n"/>
      <c r="O69" s="23">
        <f>IF(COUNT(H69:N69)=0,"",MAX(H69:N69))</f>
        <v/>
      </c>
      <c r="P69" s="24">
        <f>IF(O69="","",INDEX($H$3:$N$3,MATCH(O69,H69:N69,0)))</f>
        <v/>
      </c>
      <c r="Q69" s="23">
        <f>IF(Refino!$L$20="","",G69*Refino!$L$20*(1-RetCraft))</f>
        <v/>
      </c>
      <c r="R69" t="n">
        <v>0</v>
      </c>
      <c r="S69" t="inlineStr">
        <is>
          <t>-</t>
        </is>
      </c>
      <c r="T69" s="25">
        <f>G69*Refino!$D$20</f>
        <v/>
      </c>
      <c r="U69" s="25">
        <f>T69*0.1125*FeeCraft/100</f>
        <v/>
      </c>
      <c r="V69" s="23">
        <f>IF(OR(Q69="",R69=""),"",Q69+R69+U69)</f>
        <v/>
      </c>
      <c r="W69" s="23">
        <f>IF(O69="","",O69*(1-TaxaVenda))</f>
        <v/>
      </c>
      <c r="X69" s="26">
        <f>IF(OR(V69="",W69=""),"",W69-V69)</f>
        <v/>
      </c>
      <c r="Y69" s="27">
        <f>IF(X69="","",X69/V69)</f>
        <v/>
      </c>
    </row>
    <row r="70">
      <c r="A70" t="inlineStr">
        <is>
          <t>Soldado (Soldier)|Botas|T7.1</t>
        </is>
      </c>
      <c r="B70" t="inlineStr">
        <is>
          <t>Soldado (Soldier)</t>
        </is>
      </c>
      <c r="C70" t="inlineStr">
        <is>
          <t>Botas</t>
        </is>
      </c>
      <c r="D70" t="inlineStr">
        <is>
          <t>T7.1</t>
        </is>
      </c>
      <c r="E70" t="n">
        <v>7</v>
      </c>
      <c r="F70" t="n">
        <v>1</v>
      </c>
      <c r="G70" t="n">
        <v>8</v>
      </c>
      <c r="H70" s="22" t="n"/>
      <c r="I70" s="22" t="n"/>
      <c r="J70" s="22" t="n"/>
      <c r="K70" s="22" t="n"/>
      <c r="L70" s="22" t="n"/>
      <c r="M70" s="22" t="n"/>
      <c r="N70" s="22" t="n"/>
      <c r="O70" s="23">
        <f>IF(COUNT(H70:N70)=0,"",MAX(H70:N70))</f>
        <v/>
      </c>
      <c r="P70" s="24">
        <f>IF(O70="","",INDEX($H$3:$N$3,MATCH(O70,H70:N70,0)))</f>
        <v/>
      </c>
      <c r="Q70" s="23">
        <f>IF(Refino!$L$21="","",G70*Refino!$L$21*(1-RetCraft))</f>
        <v/>
      </c>
      <c r="R70" t="n">
        <v>0</v>
      </c>
      <c r="S70" t="inlineStr">
        <is>
          <t>-</t>
        </is>
      </c>
      <c r="T70" s="25">
        <f>G70*Refino!$D$21</f>
        <v/>
      </c>
      <c r="U70" s="25">
        <f>T70*0.1125*FeeCraft/100</f>
        <v/>
      </c>
      <c r="V70" s="23">
        <f>IF(OR(Q70="",R70=""),"",Q70+R70+U70)</f>
        <v/>
      </c>
      <c r="W70" s="23">
        <f>IF(O70="","",O70*(1-TaxaVenda))</f>
        <v/>
      </c>
      <c r="X70" s="26">
        <f>IF(OR(V70="",W70=""),"",W70-V70)</f>
        <v/>
      </c>
      <c r="Y70" s="27">
        <f>IF(X70="","",X70/V70)</f>
        <v/>
      </c>
    </row>
    <row r="71">
      <c r="A71" t="inlineStr">
        <is>
          <t>Soldado (Soldier)|Botas|T7.2</t>
        </is>
      </c>
      <c r="B71" t="inlineStr">
        <is>
          <t>Soldado (Soldier)</t>
        </is>
      </c>
      <c r="C71" t="inlineStr">
        <is>
          <t>Botas</t>
        </is>
      </c>
      <c r="D71" t="inlineStr">
        <is>
          <t>T7.2</t>
        </is>
      </c>
      <c r="E71" t="n">
        <v>7</v>
      </c>
      <c r="F71" t="n">
        <v>2</v>
      </c>
      <c r="G71" t="n">
        <v>8</v>
      </c>
      <c r="H71" s="22" t="n"/>
      <c r="I71" s="22" t="n"/>
      <c r="J71" s="22" t="n"/>
      <c r="K71" s="22" t="n"/>
      <c r="L71" s="22" t="n"/>
      <c r="M71" s="22" t="n"/>
      <c r="N71" s="22" t="n"/>
      <c r="O71" s="23">
        <f>IF(COUNT(H71:N71)=0,"",MAX(H71:N71))</f>
        <v/>
      </c>
      <c r="P71" s="24">
        <f>IF(O71="","",INDEX($H$3:$N$3,MATCH(O71,H71:N71,0)))</f>
        <v/>
      </c>
      <c r="Q71" s="23">
        <f>IF(Refino!$L$22="","",G71*Refino!$L$22*(1-RetCraft))</f>
        <v/>
      </c>
      <c r="R71" t="n">
        <v>0</v>
      </c>
      <c r="S71" t="inlineStr">
        <is>
          <t>-</t>
        </is>
      </c>
      <c r="T71" s="25">
        <f>G71*Refino!$D$22</f>
        <v/>
      </c>
      <c r="U71" s="25">
        <f>T71*0.1125*FeeCraft/100</f>
        <v/>
      </c>
      <c r="V71" s="23">
        <f>IF(OR(Q71="",R71=""),"",Q71+R71+U71)</f>
        <v/>
      </c>
      <c r="W71" s="23">
        <f>IF(O71="","",O71*(1-TaxaVenda))</f>
        <v/>
      </c>
      <c r="X71" s="26">
        <f>IF(OR(V71="",W71=""),"",W71-V71)</f>
        <v/>
      </c>
      <c r="Y71" s="27">
        <f>IF(X71="","",X71/V71)</f>
        <v/>
      </c>
    </row>
    <row r="72">
      <c r="A72" t="inlineStr">
        <is>
          <t>Soldado (Soldier)|Botas|T7.3</t>
        </is>
      </c>
      <c r="B72" t="inlineStr">
        <is>
          <t>Soldado (Soldier)</t>
        </is>
      </c>
      <c r="C72" t="inlineStr">
        <is>
          <t>Botas</t>
        </is>
      </c>
      <c r="D72" t="inlineStr">
        <is>
          <t>T7.3</t>
        </is>
      </c>
      <c r="E72" t="n">
        <v>7</v>
      </c>
      <c r="F72" t="n">
        <v>3</v>
      </c>
      <c r="G72" t="n">
        <v>8</v>
      </c>
      <c r="H72" s="22" t="n"/>
      <c r="I72" s="22" t="n"/>
      <c r="J72" s="22" t="n"/>
      <c r="K72" s="22" t="n"/>
      <c r="L72" s="22" t="n"/>
      <c r="M72" s="22" t="n"/>
      <c r="N72" s="22" t="n"/>
      <c r="O72" s="23">
        <f>IF(COUNT(H72:N72)=0,"",MAX(H72:N72))</f>
        <v/>
      </c>
      <c r="P72" s="24">
        <f>IF(O72="","",INDEX($H$3:$N$3,MATCH(O72,H72:N72,0)))</f>
        <v/>
      </c>
      <c r="Q72" s="23">
        <f>IF(Refino!$L$23="","",G72*Refino!$L$23*(1-RetCraft))</f>
        <v/>
      </c>
      <c r="R72" t="n">
        <v>0</v>
      </c>
      <c r="S72" t="inlineStr">
        <is>
          <t>-</t>
        </is>
      </c>
      <c r="T72" s="25">
        <f>G72*Refino!$D$23</f>
        <v/>
      </c>
      <c r="U72" s="25">
        <f>T72*0.1125*FeeCraft/100</f>
        <v/>
      </c>
      <c r="V72" s="23">
        <f>IF(OR(Q72="",R72=""),"",Q72+R72+U72)</f>
        <v/>
      </c>
      <c r="W72" s="23">
        <f>IF(O72="","",O72*(1-TaxaVenda))</f>
        <v/>
      </c>
      <c r="X72" s="26">
        <f>IF(OR(V72="",W72=""),"",W72-V72)</f>
        <v/>
      </c>
      <c r="Y72" s="27">
        <f>IF(X72="","",X72/V72)</f>
        <v/>
      </c>
    </row>
    <row r="73">
      <c r="A73" t="inlineStr">
        <is>
          <t>Soldado (Soldier)|Botas|T7.4</t>
        </is>
      </c>
      <c r="B73" t="inlineStr">
        <is>
          <t>Soldado (Soldier)</t>
        </is>
      </c>
      <c r="C73" t="inlineStr">
        <is>
          <t>Botas</t>
        </is>
      </c>
      <c r="D73" t="inlineStr">
        <is>
          <t>T7.4</t>
        </is>
      </c>
      <c r="E73" t="n">
        <v>7</v>
      </c>
      <c r="F73" t="n">
        <v>4</v>
      </c>
      <c r="G73" t="n">
        <v>8</v>
      </c>
      <c r="H73" s="22" t="n"/>
      <c r="I73" s="22" t="n"/>
      <c r="J73" s="22" t="n"/>
      <c r="K73" s="22" t="n"/>
      <c r="L73" s="22" t="n"/>
      <c r="M73" s="22" t="n"/>
      <c r="N73" s="22" t="n"/>
      <c r="O73" s="23">
        <f>IF(COUNT(H73:N73)=0,"",MAX(H73:N73))</f>
        <v/>
      </c>
      <c r="P73" s="24">
        <f>IF(O73="","",INDEX($H$3:$N$3,MATCH(O73,H73:N73,0)))</f>
        <v/>
      </c>
      <c r="Q73" s="23">
        <f>IF(Refino!$L$24="","",G73*Refino!$L$24*(1-RetCraft))</f>
        <v/>
      </c>
      <c r="R73" t="n">
        <v>0</v>
      </c>
      <c r="S73" t="inlineStr">
        <is>
          <t>-</t>
        </is>
      </c>
      <c r="T73" s="25">
        <f>G73*Refino!$D$24</f>
        <v/>
      </c>
      <c r="U73" s="25">
        <f>T73*0.1125*FeeCraft/100</f>
        <v/>
      </c>
      <c r="V73" s="23">
        <f>IF(OR(Q73="",R73=""),"",Q73+R73+U73)</f>
        <v/>
      </c>
      <c r="W73" s="23">
        <f>IF(O73="","",O73*(1-TaxaVenda))</f>
        <v/>
      </c>
      <c r="X73" s="26">
        <f>IF(OR(V73="",W73=""),"",W73-V73)</f>
        <v/>
      </c>
      <c r="Y73" s="27">
        <f>IF(X73="","",X73/V73)</f>
        <v/>
      </c>
    </row>
    <row r="74">
      <c r="A74" t="inlineStr">
        <is>
          <t>Soldado (Soldier)|Botas|T8.0</t>
        </is>
      </c>
      <c r="B74" t="inlineStr">
        <is>
          <t>Soldado (Soldier)</t>
        </is>
      </c>
      <c r="C74" t="inlineStr">
        <is>
          <t>Botas</t>
        </is>
      </c>
      <c r="D74" t="inlineStr">
        <is>
          <t>T8.0</t>
        </is>
      </c>
      <c r="E74" t="n">
        <v>8</v>
      </c>
      <c r="F74" t="n">
        <v>0</v>
      </c>
      <c r="G74" t="n">
        <v>8</v>
      </c>
      <c r="H74" s="22" t="n"/>
      <c r="I74" s="22" t="n"/>
      <c r="J74" s="22" t="n"/>
      <c r="K74" s="22" t="n"/>
      <c r="L74" s="22" t="n"/>
      <c r="M74" s="22" t="n"/>
      <c r="N74" s="22" t="n"/>
      <c r="O74" s="23">
        <f>IF(COUNT(H74:N74)=0,"",MAX(H74:N74))</f>
        <v/>
      </c>
      <c r="P74" s="24">
        <f>IF(O74="","",INDEX($H$3:$N$3,MATCH(O74,H74:N74,0)))</f>
        <v/>
      </c>
      <c r="Q74" s="23">
        <f>IF(Refino!$L$25="","",G74*Refino!$L$25*(1-RetCraft))</f>
        <v/>
      </c>
      <c r="R74" t="n">
        <v>0</v>
      </c>
      <c r="S74" t="inlineStr">
        <is>
          <t>-</t>
        </is>
      </c>
      <c r="T74" s="25">
        <f>G74*Refino!$D$25</f>
        <v/>
      </c>
      <c r="U74" s="25">
        <f>T74*0.1125*FeeCraft/100</f>
        <v/>
      </c>
      <c r="V74" s="23">
        <f>IF(OR(Q74="",R74=""),"",Q74+R74+U74)</f>
        <v/>
      </c>
      <c r="W74" s="23">
        <f>IF(O74="","",O74*(1-TaxaVenda))</f>
        <v/>
      </c>
      <c r="X74" s="26">
        <f>IF(OR(V74="",W74=""),"",W74-V74)</f>
        <v/>
      </c>
      <c r="Y74" s="27">
        <f>IF(X74="","",X74/V74)</f>
        <v/>
      </c>
    </row>
    <row r="75">
      <c r="A75" t="inlineStr">
        <is>
          <t>Soldado (Soldier)|Botas|T8.1</t>
        </is>
      </c>
      <c r="B75" t="inlineStr">
        <is>
          <t>Soldado (Soldier)</t>
        </is>
      </c>
      <c r="C75" t="inlineStr">
        <is>
          <t>Botas</t>
        </is>
      </c>
      <c r="D75" t="inlineStr">
        <is>
          <t>T8.1</t>
        </is>
      </c>
      <c r="E75" t="n">
        <v>8</v>
      </c>
      <c r="F75" t="n">
        <v>1</v>
      </c>
      <c r="G75" t="n">
        <v>8</v>
      </c>
      <c r="H75" s="22" t="n"/>
      <c r="I75" s="22" t="n"/>
      <c r="J75" s="22" t="n"/>
      <c r="K75" s="22" t="n"/>
      <c r="L75" s="22" t="n"/>
      <c r="M75" s="22" t="n"/>
      <c r="N75" s="22" t="n"/>
      <c r="O75" s="23">
        <f>IF(COUNT(H75:N75)=0,"",MAX(H75:N75))</f>
        <v/>
      </c>
      <c r="P75" s="24">
        <f>IF(O75="","",INDEX($H$3:$N$3,MATCH(O75,H75:N75,0)))</f>
        <v/>
      </c>
      <c r="Q75" s="23">
        <f>IF(Refino!$L$26="","",G75*Refino!$L$26*(1-RetCraft))</f>
        <v/>
      </c>
      <c r="R75" t="n">
        <v>0</v>
      </c>
      <c r="S75" t="inlineStr">
        <is>
          <t>-</t>
        </is>
      </c>
      <c r="T75" s="25">
        <f>G75*Refino!$D$26</f>
        <v/>
      </c>
      <c r="U75" s="25">
        <f>T75*0.1125*FeeCraft/100</f>
        <v/>
      </c>
      <c r="V75" s="23">
        <f>IF(OR(Q75="",R75=""),"",Q75+R75+U75)</f>
        <v/>
      </c>
      <c r="W75" s="23">
        <f>IF(O75="","",O75*(1-TaxaVenda))</f>
        <v/>
      </c>
      <c r="X75" s="26">
        <f>IF(OR(V75="",W75=""),"",W75-V75)</f>
        <v/>
      </c>
      <c r="Y75" s="27">
        <f>IF(X75="","",X75/V75)</f>
        <v/>
      </c>
    </row>
    <row r="76">
      <c r="A76" t="inlineStr">
        <is>
          <t>Soldado (Soldier)|Botas|T8.2</t>
        </is>
      </c>
      <c r="B76" t="inlineStr">
        <is>
          <t>Soldado (Soldier)</t>
        </is>
      </c>
      <c r="C76" t="inlineStr">
        <is>
          <t>Botas</t>
        </is>
      </c>
      <c r="D76" t="inlineStr">
        <is>
          <t>T8.2</t>
        </is>
      </c>
      <c r="E76" t="n">
        <v>8</v>
      </c>
      <c r="F76" t="n">
        <v>2</v>
      </c>
      <c r="G76" t="n">
        <v>8</v>
      </c>
      <c r="H76" s="22" t="n"/>
      <c r="I76" s="22" t="n"/>
      <c r="J76" s="22" t="n"/>
      <c r="K76" s="22" t="n"/>
      <c r="L76" s="22" t="n"/>
      <c r="M76" s="22" t="n"/>
      <c r="N76" s="22" t="n"/>
      <c r="O76" s="23">
        <f>IF(COUNT(H76:N76)=0,"",MAX(H76:N76))</f>
        <v/>
      </c>
      <c r="P76" s="24">
        <f>IF(O76="","",INDEX($H$3:$N$3,MATCH(O76,H76:N76,0)))</f>
        <v/>
      </c>
      <c r="Q76" s="23">
        <f>IF(Refino!$L$27="","",G76*Refino!$L$27*(1-RetCraft))</f>
        <v/>
      </c>
      <c r="R76" t="n">
        <v>0</v>
      </c>
      <c r="S76" t="inlineStr">
        <is>
          <t>-</t>
        </is>
      </c>
      <c r="T76" s="25">
        <f>G76*Refino!$D$27</f>
        <v/>
      </c>
      <c r="U76" s="25">
        <f>T76*0.1125*FeeCraft/100</f>
        <v/>
      </c>
      <c r="V76" s="23">
        <f>IF(OR(Q76="",R76=""),"",Q76+R76+U76)</f>
        <v/>
      </c>
      <c r="W76" s="23">
        <f>IF(O76="","",O76*(1-TaxaVenda))</f>
        <v/>
      </c>
      <c r="X76" s="26">
        <f>IF(OR(V76="",W76=""),"",W76-V76)</f>
        <v/>
      </c>
      <c r="Y76" s="27">
        <f>IF(X76="","",X76/V76)</f>
        <v/>
      </c>
    </row>
    <row r="77">
      <c r="A77" t="inlineStr">
        <is>
          <t>Soldado (Soldier)|Botas|T8.3</t>
        </is>
      </c>
      <c r="B77" t="inlineStr">
        <is>
          <t>Soldado (Soldier)</t>
        </is>
      </c>
      <c r="C77" t="inlineStr">
        <is>
          <t>Botas</t>
        </is>
      </c>
      <c r="D77" t="inlineStr">
        <is>
          <t>T8.3</t>
        </is>
      </c>
      <c r="E77" t="n">
        <v>8</v>
      </c>
      <c r="F77" t="n">
        <v>3</v>
      </c>
      <c r="G77" t="n">
        <v>8</v>
      </c>
      <c r="H77" s="22" t="n"/>
      <c r="I77" s="22" t="n"/>
      <c r="J77" s="22" t="n"/>
      <c r="K77" s="22" t="n"/>
      <c r="L77" s="22" t="n"/>
      <c r="M77" s="22" t="n"/>
      <c r="N77" s="22" t="n"/>
      <c r="O77" s="23">
        <f>IF(COUNT(H77:N77)=0,"",MAX(H77:N77))</f>
        <v/>
      </c>
      <c r="P77" s="24">
        <f>IF(O77="","",INDEX($H$3:$N$3,MATCH(O77,H77:N77,0)))</f>
        <v/>
      </c>
      <c r="Q77" s="23">
        <f>IF(Refino!$L$28="","",G77*Refino!$L$28*(1-RetCraft))</f>
        <v/>
      </c>
      <c r="R77" t="n">
        <v>0</v>
      </c>
      <c r="S77" t="inlineStr">
        <is>
          <t>-</t>
        </is>
      </c>
      <c r="T77" s="25">
        <f>G77*Refino!$D$28</f>
        <v/>
      </c>
      <c r="U77" s="25">
        <f>T77*0.1125*FeeCraft/100</f>
        <v/>
      </c>
      <c r="V77" s="23">
        <f>IF(OR(Q77="",R77=""),"",Q77+R77+U77)</f>
        <v/>
      </c>
      <c r="W77" s="23">
        <f>IF(O77="","",O77*(1-TaxaVenda))</f>
        <v/>
      </c>
      <c r="X77" s="26">
        <f>IF(OR(V77="",W77=""),"",W77-V77)</f>
        <v/>
      </c>
      <c r="Y77" s="27">
        <f>IF(X77="","",X77/V77)</f>
        <v/>
      </c>
    </row>
    <row r="78">
      <c r="A78" t="inlineStr">
        <is>
          <t>Soldado (Soldier)|Botas|T8.4</t>
        </is>
      </c>
      <c r="B78" t="inlineStr">
        <is>
          <t>Soldado (Soldier)</t>
        </is>
      </c>
      <c r="C78" t="inlineStr">
        <is>
          <t>Botas</t>
        </is>
      </c>
      <c r="D78" t="inlineStr">
        <is>
          <t>T8.4</t>
        </is>
      </c>
      <c r="E78" t="n">
        <v>8</v>
      </c>
      <c r="F78" t="n">
        <v>4</v>
      </c>
      <c r="G78" t="n">
        <v>8</v>
      </c>
      <c r="H78" s="22" t="n"/>
      <c r="I78" s="22" t="n"/>
      <c r="J78" s="22" t="n"/>
      <c r="K78" s="22" t="n"/>
      <c r="L78" s="22" t="n"/>
      <c r="M78" s="22" t="n"/>
      <c r="N78" s="22" t="n"/>
      <c r="O78" s="23">
        <f>IF(COUNT(H78:N78)=0,"",MAX(H78:N78))</f>
        <v/>
      </c>
      <c r="P78" s="24">
        <f>IF(O78="","",INDEX($H$3:$N$3,MATCH(O78,H78:N78,0)))</f>
        <v/>
      </c>
      <c r="Q78" s="23">
        <f>IF(Refino!$L$29="","",G78*Refino!$L$29*(1-RetCraft))</f>
        <v/>
      </c>
      <c r="R78" t="n">
        <v>0</v>
      </c>
      <c r="S78" t="inlineStr">
        <is>
          <t>-</t>
        </is>
      </c>
      <c r="T78" s="25">
        <f>G78*Refino!$D$29</f>
        <v/>
      </c>
      <c r="U78" s="25">
        <f>T78*0.1125*FeeCraft/100</f>
        <v/>
      </c>
      <c r="V78" s="23">
        <f>IF(OR(Q78="",R78=""),"",Q78+R78+U78)</f>
        <v/>
      </c>
      <c r="W78" s="23">
        <f>IF(O78="","",O78*(1-TaxaVenda))</f>
        <v/>
      </c>
      <c r="X78" s="26">
        <f>IF(OR(V78="",W78=""),"",W78-V78)</f>
        <v/>
      </c>
      <c r="Y78" s="27">
        <f>IF(X78="","",X78/V78)</f>
        <v/>
      </c>
    </row>
    <row r="79">
      <c r="A79" t="inlineStr">
        <is>
          <t>Cavaleiro (Knight)|Armadura|T4.0</t>
        </is>
      </c>
      <c r="B79" t="inlineStr">
        <is>
          <t>Cavaleiro (Knight)</t>
        </is>
      </c>
      <c r="C79" t="inlineStr">
        <is>
          <t>Armadura</t>
        </is>
      </c>
      <c r="D79" t="inlineStr">
        <is>
          <t>T4.0</t>
        </is>
      </c>
      <c r="E79" t="n">
        <v>4</v>
      </c>
      <c r="F79" t="n">
        <v>0</v>
      </c>
      <c r="G79" t="n">
        <v>16</v>
      </c>
      <c r="H79" s="22" t="n"/>
      <c r="I79" s="22" t="n"/>
      <c r="J79" s="22" t="n"/>
      <c r="K79" s="22" t="n"/>
      <c r="L79" s="22" t="n"/>
      <c r="M79" s="22" t="n"/>
      <c r="N79" s="22" t="n"/>
      <c r="O79" s="23">
        <f>IF(COUNT(H79:N79)=0,"",MAX(H79:N79))</f>
        <v/>
      </c>
      <c r="P79" s="24">
        <f>IF(O79="","",INDEX($H$3:$N$3,MATCH(O79,H79:N79,0)))</f>
        <v/>
      </c>
      <c r="Q79" s="23">
        <f>IF(Refino!$L$5="","",G79*Refino!$L$5*(1-RetCraft))</f>
        <v/>
      </c>
      <c r="R79" t="n">
        <v>0</v>
      </c>
      <c r="S79" t="inlineStr">
        <is>
          <t>-</t>
        </is>
      </c>
      <c r="T79" s="25">
        <f>G79*Refino!$D$5</f>
        <v/>
      </c>
      <c r="U79" s="25">
        <f>T79*0.1125*FeeCraft/100</f>
        <v/>
      </c>
      <c r="V79" s="23">
        <f>IF(OR(Q79="",R79=""),"",Q79+R79+U79)</f>
        <v/>
      </c>
      <c r="W79" s="23">
        <f>IF(O79="","",O79*(1-TaxaVenda))</f>
        <v/>
      </c>
      <c r="X79" s="26">
        <f>IF(OR(V79="",W79=""),"",W79-V79)</f>
        <v/>
      </c>
      <c r="Y79" s="27">
        <f>IF(X79="","",X79/V79)</f>
        <v/>
      </c>
    </row>
    <row r="80">
      <c r="A80" t="inlineStr">
        <is>
          <t>Cavaleiro (Knight)|Armadura|T4.1</t>
        </is>
      </c>
      <c r="B80" t="inlineStr">
        <is>
          <t>Cavaleiro (Knight)</t>
        </is>
      </c>
      <c r="C80" t="inlineStr">
        <is>
          <t>Armadura</t>
        </is>
      </c>
      <c r="D80" t="inlineStr">
        <is>
          <t>T4.1</t>
        </is>
      </c>
      <c r="E80" t="n">
        <v>4</v>
      </c>
      <c r="F80" t="n">
        <v>1</v>
      </c>
      <c r="G80" t="n">
        <v>16</v>
      </c>
      <c r="H80" s="22" t="n"/>
      <c r="I80" s="22" t="n"/>
      <c r="J80" s="22" t="n"/>
      <c r="K80" s="22" t="n"/>
      <c r="L80" s="22" t="n"/>
      <c r="M80" s="22" t="n"/>
      <c r="N80" s="22" t="n"/>
      <c r="O80" s="23">
        <f>IF(COUNT(H80:N80)=0,"",MAX(H80:N80))</f>
        <v/>
      </c>
      <c r="P80" s="24">
        <f>IF(O80="","",INDEX($H$3:$N$3,MATCH(O80,H80:N80,0)))</f>
        <v/>
      </c>
      <c r="Q80" s="23">
        <f>IF(Refino!$L$6="","",G80*Refino!$L$6*(1-RetCraft))</f>
        <v/>
      </c>
      <c r="R80" t="n">
        <v>0</v>
      </c>
      <c r="S80" t="inlineStr">
        <is>
          <t>-</t>
        </is>
      </c>
      <c r="T80" s="25">
        <f>G80*Refino!$D$6</f>
        <v/>
      </c>
      <c r="U80" s="25">
        <f>T80*0.1125*FeeCraft/100</f>
        <v/>
      </c>
      <c r="V80" s="23">
        <f>IF(OR(Q80="",R80=""),"",Q80+R80+U80)</f>
        <v/>
      </c>
      <c r="W80" s="23">
        <f>IF(O80="","",O80*(1-TaxaVenda))</f>
        <v/>
      </c>
      <c r="X80" s="26">
        <f>IF(OR(V80="",W80=""),"",W80-V80)</f>
        <v/>
      </c>
      <c r="Y80" s="27">
        <f>IF(X80="","",X80/V80)</f>
        <v/>
      </c>
    </row>
    <row r="81">
      <c r="A81" t="inlineStr">
        <is>
          <t>Cavaleiro (Knight)|Armadura|T4.2</t>
        </is>
      </c>
      <c r="B81" t="inlineStr">
        <is>
          <t>Cavaleiro (Knight)</t>
        </is>
      </c>
      <c r="C81" t="inlineStr">
        <is>
          <t>Armadura</t>
        </is>
      </c>
      <c r="D81" t="inlineStr">
        <is>
          <t>T4.2</t>
        </is>
      </c>
      <c r="E81" t="n">
        <v>4</v>
      </c>
      <c r="F81" t="n">
        <v>2</v>
      </c>
      <c r="G81" t="n">
        <v>16</v>
      </c>
      <c r="H81" s="22" t="n"/>
      <c r="I81" s="22" t="n"/>
      <c r="J81" s="22" t="n"/>
      <c r="K81" s="22" t="n"/>
      <c r="L81" s="22" t="n"/>
      <c r="M81" s="22" t="n"/>
      <c r="N81" s="22" t="n"/>
      <c r="O81" s="23">
        <f>IF(COUNT(H81:N81)=0,"",MAX(H81:N81))</f>
        <v/>
      </c>
      <c r="P81" s="24">
        <f>IF(O81="","",INDEX($H$3:$N$3,MATCH(O81,H81:N81,0)))</f>
        <v/>
      </c>
      <c r="Q81" s="23">
        <f>IF(Refino!$L$7="","",G81*Refino!$L$7*(1-RetCraft))</f>
        <v/>
      </c>
      <c r="R81" t="n">
        <v>0</v>
      </c>
      <c r="S81" t="inlineStr">
        <is>
          <t>-</t>
        </is>
      </c>
      <c r="T81" s="25">
        <f>G81*Refino!$D$7</f>
        <v/>
      </c>
      <c r="U81" s="25">
        <f>T81*0.1125*FeeCraft/100</f>
        <v/>
      </c>
      <c r="V81" s="23">
        <f>IF(OR(Q81="",R81=""),"",Q81+R81+U81)</f>
        <v/>
      </c>
      <c r="W81" s="23">
        <f>IF(O81="","",O81*(1-TaxaVenda))</f>
        <v/>
      </c>
      <c r="X81" s="26">
        <f>IF(OR(V81="",W81=""),"",W81-V81)</f>
        <v/>
      </c>
      <c r="Y81" s="27">
        <f>IF(X81="","",X81/V81)</f>
        <v/>
      </c>
    </row>
    <row r="82">
      <c r="A82" t="inlineStr">
        <is>
          <t>Cavaleiro (Knight)|Armadura|T4.3</t>
        </is>
      </c>
      <c r="B82" t="inlineStr">
        <is>
          <t>Cavaleiro (Knight)</t>
        </is>
      </c>
      <c r="C82" t="inlineStr">
        <is>
          <t>Armadura</t>
        </is>
      </c>
      <c r="D82" t="inlineStr">
        <is>
          <t>T4.3</t>
        </is>
      </c>
      <c r="E82" t="n">
        <v>4</v>
      </c>
      <c r="F82" t="n">
        <v>3</v>
      </c>
      <c r="G82" t="n">
        <v>16</v>
      </c>
      <c r="H82" s="22" t="n"/>
      <c r="I82" s="22" t="n"/>
      <c r="J82" s="22" t="n"/>
      <c r="K82" s="22" t="n"/>
      <c r="L82" s="22" t="n"/>
      <c r="M82" s="22" t="n"/>
      <c r="N82" s="22" t="n"/>
      <c r="O82" s="23">
        <f>IF(COUNT(H82:N82)=0,"",MAX(H82:N82))</f>
        <v/>
      </c>
      <c r="P82" s="24">
        <f>IF(O82="","",INDEX($H$3:$N$3,MATCH(O82,H82:N82,0)))</f>
        <v/>
      </c>
      <c r="Q82" s="23">
        <f>IF(Refino!$L$8="","",G82*Refino!$L$8*(1-RetCraft))</f>
        <v/>
      </c>
      <c r="R82" t="n">
        <v>0</v>
      </c>
      <c r="S82" t="inlineStr">
        <is>
          <t>-</t>
        </is>
      </c>
      <c r="T82" s="25">
        <f>G82*Refino!$D$8</f>
        <v/>
      </c>
      <c r="U82" s="25">
        <f>T82*0.1125*FeeCraft/100</f>
        <v/>
      </c>
      <c r="V82" s="23">
        <f>IF(OR(Q82="",R82=""),"",Q82+R82+U82)</f>
        <v/>
      </c>
      <c r="W82" s="23">
        <f>IF(O82="","",O82*(1-TaxaVenda))</f>
        <v/>
      </c>
      <c r="X82" s="26">
        <f>IF(OR(V82="",W82=""),"",W82-V82)</f>
        <v/>
      </c>
      <c r="Y82" s="27">
        <f>IF(X82="","",X82/V82)</f>
        <v/>
      </c>
    </row>
    <row r="83">
      <c r="A83" t="inlineStr">
        <is>
          <t>Cavaleiro (Knight)|Armadura|T4.4</t>
        </is>
      </c>
      <c r="B83" t="inlineStr">
        <is>
          <t>Cavaleiro (Knight)</t>
        </is>
      </c>
      <c r="C83" t="inlineStr">
        <is>
          <t>Armadura</t>
        </is>
      </c>
      <c r="D83" t="inlineStr">
        <is>
          <t>T4.4</t>
        </is>
      </c>
      <c r="E83" t="n">
        <v>4</v>
      </c>
      <c r="F83" t="n">
        <v>4</v>
      </c>
      <c r="G83" t="n">
        <v>16</v>
      </c>
      <c r="H83" s="22" t="n"/>
      <c r="I83" s="22" t="n"/>
      <c r="J83" s="22" t="n"/>
      <c r="K83" s="22" t="n"/>
      <c r="L83" s="22" t="n"/>
      <c r="M83" s="22" t="n"/>
      <c r="N83" s="22" t="n"/>
      <c r="O83" s="23">
        <f>IF(COUNT(H83:N83)=0,"",MAX(H83:N83))</f>
        <v/>
      </c>
      <c r="P83" s="24">
        <f>IF(O83="","",INDEX($H$3:$N$3,MATCH(O83,H83:N83,0)))</f>
        <v/>
      </c>
      <c r="Q83" s="23">
        <f>IF(Refino!$L$9="","",G83*Refino!$L$9*(1-RetCraft))</f>
        <v/>
      </c>
      <c r="R83" t="n">
        <v>0</v>
      </c>
      <c r="S83" t="inlineStr">
        <is>
          <t>-</t>
        </is>
      </c>
      <c r="T83" s="25">
        <f>G83*Refino!$D$9</f>
        <v/>
      </c>
      <c r="U83" s="25">
        <f>T83*0.1125*FeeCraft/100</f>
        <v/>
      </c>
      <c r="V83" s="23">
        <f>IF(OR(Q83="",R83=""),"",Q83+R83+U83)</f>
        <v/>
      </c>
      <c r="W83" s="23">
        <f>IF(O83="","",O83*(1-TaxaVenda))</f>
        <v/>
      </c>
      <c r="X83" s="26">
        <f>IF(OR(V83="",W83=""),"",W83-V83)</f>
        <v/>
      </c>
      <c r="Y83" s="27">
        <f>IF(X83="","",X83/V83)</f>
        <v/>
      </c>
    </row>
    <row r="84">
      <c r="A84" t="inlineStr">
        <is>
          <t>Cavaleiro (Knight)|Armadura|T5.0</t>
        </is>
      </c>
      <c r="B84" t="inlineStr">
        <is>
          <t>Cavaleiro (Knight)</t>
        </is>
      </c>
      <c r="C84" t="inlineStr">
        <is>
          <t>Armadura</t>
        </is>
      </c>
      <c r="D84" t="inlineStr">
        <is>
          <t>T5.0</t>
        </is>
      </c>
      <c r="E84" t="n">
        <v>5</v>
      </c>
      <c r="F84" t="n">
        <v>0</v>
      </c>
      <c r="G84" t="n">
        <v>16</v>
      </c>
      <c r="H84" s="22" t="n"/>
      <c r="I84" s="22" t="n"/>
      <c r="J84" s="22" t="n"/>
      <c r="K84" s="22" t="n"/>
      <c r="L84" s="22" t="n"/>
      <c r="M84" s="22" t="n"/>
      <c r="N84" s="22" t="n"/>
      <c r="O84" s="23">
        <f>IF(COUNT(H84:N84)=0,"",MAX(H84:N84))</f>
        <v/>
      </c>
      <c r="P84" s="24">
        <f>IF(O84="","",INDEX($H$3:$N$3,MATCH(O84,H84:N84,0)))</f>
        <v/>
      </c>
      <c r="Q84" s="23">
        <f>IF(Refino!$L$10="","",G84*Refino!$L$10*(1-RetCraft))</f>
        <v/>
      </c>
      <c r="R84" t="n">
        <v>0</v>
      </c>
      <c r="S84" t="inlineStr">
        <is>
          <t>-</t>
        </is>
      </c>
      <c r="T84" s="25">
        <f>G84*Refino!$D$10</f>
        <v/>
      </c>
      <c r="U84" s="25">
        <f>T84*0.1125*FeeCraft/100</f>
        <v/>
      </c>
      <c r="V84" s="23">
        <f>IF(OR(Q84="",R84=""),"",Q84+R84+U84)</f>
        <v/>
      </c>
      <c r="W84" s="23">
        <f>IF(O84="","",O84*(1-TaxaVenda))</f>
        <v/>
      </c>
      <c r="X84" s="26">
        <f>IF(OR(V84="",W84=""),"",W84-V84)</f>
        <v/>
      </c>
      <c r="Y84" s="27">
        <f>IF(X84="","",X84/V84)</f>
        <v/>
      </c>
    </row>
    <row r="85">
      <c r="A85" t="inlineStr">
        <is>
          <t>Cavaleiro (Knight)|Armadura|T5.1</t>
        </is>
      </c>
      <c r="B85" t="inlineStr">
        <is>
          <t>Cavaleiro (Knight)</t>
        </is>
      </c>
      <c r="C85" t="inlineStr">
        <is>
          <t>Armadura</t>
        </is>
      </c>
      <c r="D85" t="inlineStr">
        <is>
          <t>T5.1</t>
        </is>
      </c>
      <c r="E85" t="n">
        <v>5</v>
      </c>
      <c r="F85" t="n">
        <v>1</v>
      </c>
      <c r="G85" t="n">
        <v>16</v>
      </c>
      <c r="H85" s="22" t="n"/>
      <c r="I85" s="22" t="n"/>
      <c r="J85" s="22" t="n"/>
      <c r="K85" s="22" t="n"/>
      <c r="L85" s="22" t="n"/>
      <c r="M85" s="22" t="n"/>
      <c r="N85" s="22" t="n"/>
      <c r="O85" s="23">
        <f>IF(COUNT(H85:N85)=0,"",MAX(H85:N85))</f>
        <v/>
      </c>
      <c r="P85" s="24">
        <f>IF(O85="","",INDEX($H$3:$N$3,MATCH(O85,H85:N85,0)))</f>
        <v/>
      </c>
      <c r="Q85" s="23">
        <f>IF(Refino!$L$11="","",G85*Refino!$L$11*(1-RetCraft))</f>
        <v/>
      </c>
      <c r="R85" t="n">
        <v>0</v>
      </c>
      <c r="S85" t="inlineStr">
        <is>
          <t>-</t>
        </is>
      </c>
      <c r="T85" s="25">
        <f>G85*Refino!$D$11</f>
        <v/>
      </c>
      <c r="U85" s="25">
        <f>T85*0.1125*FeeCraft/100</f>
        <v/>
      </c>
      <c r="V85" s="23">
        <f>IF(OR(Q85="",R85=""),"",Q85+R85+U85)</f>
        <v/>
      </c>
      <c r="W85" s="23">
        <f>IF(O85="","",O85*(1-TaxaVenda))</f>
        <v/>
      </c>
      <c r="X85" s="26">
        <f>IF(OR(V85="",W85=""),"",W85-V85)</f>
        <v/>
      </c>
      <c r="Y85" s="27">
        <f>IF(X85="","",X85/V85)</f>
        <v/>
      </c>
    </row>
    <row r="86">
      <c r="A86" t="inlineStr">
        <is>
          <t>Cavaleiro (Knight)|Armadura|T5.2</t>
        </is>
      </c>
      <c r="B86" t="inlineStr">
        <is>
          <t>Cavaleiro (Knight)</t>
        </is>
      </c>
      <c r="C86" t="inlineStr">
        <is>
          <t>Armadura</t>
        </is>
      </c>
      <c r="D86" t="inlineStr">
        <is>
          <t>T5.2</t>
        </is>
      </c>
      <c r="E86" t="n">
        <v>5</v>
      </c>
      <c r="F86" t="n">
        <v>2</v>
      </c>
      <c r="G86" t="n">
        <v>16</v>
      </c>
      <c r="H86" s="22" t="n"/>
      <c r="I86" s="22" t="n"/>
      <c r="J86" s="22" t="n"/>
      <c r="K86" s="22" t="n"/>
      <c r="L86" s="22" t="n"/>
      <c r="M86" s="22" t="n"/>
      <c r="N86" s="22" t="n"/>
      <c r="O86" s="23">
        <f>IF(COUNT(H86:N86)=0,"",MAX(H86:N86))</f>
        <v/>
      </c>
      <c r="P86" s="24">
        <f>IF(O86="","",INDEX($H$3:$N$3,MATCH(O86,H86:N86,0)))</f>
        <v/>
      </c>
      <c r="Q86" s="23">
        <f>IF(Refino!$L$12="","",G86*Refino!$L$12*(1-RetCraft))</f>
        <v/>
      </c>
      <c r="R86" t="n">
        <v>0</v>
      </c>
      <c r="S86" t="inlineStr">
        <is>
          <t>-</t>
        </is>
      </c>
      <c r="T86" s="25">
        <f>G86*Refino!$D$12</f>
        <v/>
      </c>
      <c r="U86" s="25">
        <f>T86*0.1125*FeeCraft/100</f>
        <v/>
      </c>
      <c r="V86" s="23">
        <f>IF(OR(Q86="",R86=""),"",Q86+R86+U86)</f>
        <v/>
      </c>
      <c r="W86" s="23">
        <f>IF(O86="","",O86*(1-TaxaVenda))</f>
        <v/>
      </c>
      <c r="X86" s="26">
        <f>IF(OR(V86="",W86=""),"",W86-V86)</f>
        <v/>
      </c>
      <c r="Y86" s="27">
        <f>IF(X86="","",X86/V86)</f>
        <v/>
      </c>
    </row>
    <row r="87">
      <c r="A87" t="inlineStr">
        <is>
          <t>Cavaleiro (Knight)|Armadura|T5.3</t>
        </is>
      </c>
      <c r="B87" t="inlineStr">
        <is>
          <t>Cavaleiro (Knight)</t>
        </is>
      </c>
      <c r="C87" t="inlineStr">
        <is>
          <t>Armadura</t>
        </is>
      </c>
      <c r="D87" t="inlineStr">
        <is>
          <t>T5.3</t>
        </is>
      </c>
      <c r="E87" t="n">
        <v>5</v>
      </c>
      <c r="F87" t="n">
        <v>3</v>
      </c>
      <c r="G87" t="n">
        <v>16</v>
      </c>
      <c r="H87" s="22" t="n"/>
      <c r="I87" s="22" t="n"/>
      <c r="J87" s="22" t="n"/>
      <c r="K87" s="22" t="n"/>
      <c r="L87" s="22" t="n"/>
      <c r="M87" s="22" t="n"/>
      <c r="N87" s="22" t="n"/>
      <c r="O87" s="23">
        <f>IF(COUNT(H87:N87)=0,"",MAX(H87:N87))</f>
        <v/>
      </c>
      <c r="P87" s="24">
        <f>IF(O87="","",INDEX($H$3:$N$3,MATCH(O87,H87:N87,0)))</f>
        <v/>
      </c>
      <c r="Q87" s="23">
        <f>IF(Refino!$L$13="","",G87*Refino!$L$13*(1-RetCraft))</f>
        <v/>
      </c>
      <c r="R87" t="n">
        <v>0</v>
      </c>
      <c r="S87" t="inlineStr">
        <is>
          <t>-</t>
        </is>
      </c>
      <c r="T87" s="25">
        <f>G87*Refino!$D$13</f>
        <v/>
      </c>
      <c r="U87" s="25">
        <f>T87*0.1125*FeeCraft/100</f>
        <v/>
      </c>
      <c r="V87" s="23">
        <f>IF(OR(Q87="",R87=""),"",Q87+R87+U87)</f>
        <v/>
      </c>
      <c r="W87" s="23">
        <f>IF(O87="","",O87*(1-TaxaVenda))</f>
        <v/>
      </c>
      <c r="X87" s="26">
        <f>IF(OR(V87="",W87=""),"",W87-V87)</f>
        <v/>
      </c>
      <c r="Y87" s="27">
        <f>IF(X87="","",X87/V87)</f>
        <v/>
      </c>
    </row>
    <row r="88">
      <c r="A88" t="inlineStr">
        <is>
          <t>Cavaleiro (Knight)|Armadura|T5.4</t>
        </is>
      </c>
      <c r="B88" t="inlineStr">
        <is>
          <t>Cavaleiro (Knight)</t>
        </is>
      </c>
      <c r="C88" t="inlineStr">
        <is>
          <t>Armadura</t>
        </is>
      </c>
      <c r="D88" t="inlineStr">
        <is>
          <t>T5.4</t>
        </is>
      </c>
      <c r="E88" t="n">
        <v>5</v>
      </c>
      <c r="F88" t="n">
        <v>4</v>
      </c>
      <c r="G88" t="n">
        <v>16</v>
      </c>
      <c r="H88" s="22" t="n"/>
      <c r="I88" s="22" t="n"/>
      <c r="J88" s="22" t="n"/>
      <c r="K88" s="22" t="n"/>
      <c r="L88" s="22" t="n"/>
      <c r="M88" s="22" t="n"/>
      <c r="N88" s="22" t="n"/>
      <c r="O88" s="23">
        <f>IF(COUNT(H88:N88)=0,"",MAX(H88:N88))</f>
        <v/>
      </c>
      <c r="P88" s="24">
        <f>IF(O88="","",INDEX($H$3:$N$3,MATCH(O88,H88:N88,0)))</f>
        <v/>
      </c>
      <c r="Q88" s="23">
        <f>IF(Refino!$L$14="","",G88*Refino!$L$14*(1-RetCraft))</f>
        <v/>
      </c>
      <c r="R88" t="n">
        <v>0</v>
      </c>
      <c r="S88" t="inlineStr">
        <is>
          <t>-</t>
        </is>
      </c>
      <c r="T88" s="25">
        <f>G88*Refino!$D$14</f>
        <v/>
      </c>
      <c r="U88" s="25">
        <f>T88*0.1125*FeeCraft/100</f>
        <v/>
      </c>
      <c r="V88" s="23">
        <f>IF(OR(Q88="",R88=""),"",Q88+R88+U88)</f>
        <v/>
      </c>
      <c r="W88" s="23">
        <f>IF(O88="","",O88*(1-TaxaVenda))</f>
        <v/>
      </c>
      <c r="X88" s="26">
        <f>IF(OR(V88="",W88=""),"",W88-V88)</f>
        <v/>
      </c>
      <c r="Y88" s="27">
        <f>IF(X88="","",X88/V88)</f>
        <v/>
      </c>
    </row>
    <row r="89">
      <c r="A89" t="inlineStr">
        <is>
          <t>Cavaleiro (Knight)|Armadura|T6.0</t>
        </is>
      </c>
      <c r="B89" t="inlineStr">
        <is>
          <t>Cavaleiro (Knight)</t>
        </is>
      </c>
      <c r="C89" t="inlineStr">
        <is>
          <t>Armadura</t>
        </is>
      </c>
      <c r="D89" t="inlineStr">
        <is>
          <t>T6.0</t>
        </is>
      </c>
      <c r="E89" t="n">
        <v>6</v>
      </c>
      <c r="F89" t="n">
        <v>0</v>
      </c>
      <c r="G89" t="n">
        <v>16</v>
      </c>
      <c r="H89" s="22" t="n"/>
      <c r="I89" s="22" t="n"/>
      <c r="J89" s="22" t="n"/>
      <c r="K89" s="22" t="n"/>
      <c r="L89" s="22" t="n"/>
      <c r="M89" s="22" t="n"/>
      <c r="N89" s="22" t="n"/>
      <c r="O89" s="23">
        <f>IF(COUNT(H89:N89)=0,"",MAX(H89:N89))</f>
        <v/>
      </c>
      <c r="P89" s="24">
        <f>IF(O89="","",INDEX($H$3:$N$3,MATCH(O89,H89:N89,0)))</f>
        <v/>
      </c>
      <c r="Q89" s="23">
        <f>IF(Refino!$L$15="","",G89*Refino!$L$15*(1-RetCraft))</f>
        <v/>
      </c>
      <c r="R89" t="n">
        <v>0</v>
      </c>
      <c r="S89" t="inlineStr">
        <is>
          <t>-</t>
        </is>
      </c>
      <c r="T89" s="25">
        <f>G89*Refino!$D$15</f>
        <v/>
      </c>
      <c r="U89" s="25">
        <f>T89*0.1125*FeeCraft/100</f>
        <v/>
      </c>
      <c r="V89" s="23">
        <f>IF(OR(Q89="",R89=""),"",Q89+R89+U89)</f>
        <v/>
      </c>
      <c r="W89" s="23">
        <f>IF(O89="","",O89*(1-TaxaVenda))</f>
        <v/>
      </c>
      <c r="X89" s="26">
        <f>IF(OR(V89="",W89=""),"",W89-V89)</f>
        <v/>
      </c>
      <c r="Y89" s="27">
        <f>IF(X89="","",X89/V89)</f>
        <v/>
      </c>
    </row>
    <row r="90">
      <c r="A90" t="inlineStr">
        <is>
          <t>Cavaleiro (Knight)|Armadura|T6.1</t>
        </is>
      </c>
      <c r="B90" t="inlineStr">
        <is>
          <t>Cavaleiro (Knight)</t>
        </is>
      </c>
      <c r="C90" t="inlineStr">
        <is>
          <t>Armadura</t>
        </is>
      </c>
      <c r="D90" t="inlineStr">
        <is>
          <t>T6.1</t>
        </is>
      </c>
      <c r="E90" t="n">
        <v>6</v>
      </c>
      <c r="F90" t="n">
        <v>1</v>
      </c>
      <c r="G90" t="n">
        <v>16</v>
      </c>
      <c r="H90" s="22" t="n"/>
      <c r="I90" s="22" t="n"/>
      <c r="J90" s="22" t="n"/>
      <c r="K90" s="22" t="n"/>
      <c r="L90" s="22" t="n"/>
      <c r="M90" s="22" t="n"/>
      <c r="N90" s="22" t="n"/>
      <c r="O90" s="23">
        <f>IF(COUNT(H90:N90)=0,"",MAX(H90:N90))</f>
        <v/>
      </c>
      <c r="P90" s="24">
        <f>IF(O90="","",INDEX($H$3:$N$3,MATCH(O90,H90:N90,0)))</f>
        <v/>
      </c>
      <c r="Q90" s="23">
        <f>IF(Refino!$L$16="","",G90*Refino!$L$16*(1-RetCraft))</f>
        <v/>
      </c>
      <c r="R90" t="n">
        <v>0</v>
      </c>
      <c r="S90" t="inlineStr">
        <is>
          <t>-</t>
        </is>
      </c>
      <c r="T90" s="25">
        <f>G90*Refino!$D$16</f>
        <v/>
      </c>
      <c r="U90" s="25">
        <f>T90*0.1125*FeeCraft/100</f>
        <v/>
      </c>
      <c r="V90" s="23">
        <f>IF(OR(Q90="",R90=""),"",Q90+R90+U90)</f>
        <v/>
      </c>
      <c r="W90" s="23">
        <f>IF(O90="","",O90*(1-TaxaVenda))</f>
        <v/>
      </c>
      <c r="X90" s="26">
        <f>IF(OR(V90="",W90=""),"",W90-V90)</f>
        <v/>
      </c>
      <c r="Y90" s="27">
        <f>IF(X90="","",X90/V90)</f>
        <v/>
      </c>
    </row>
    <row r="91">
      <c r="A91" t="inlineStr">
        <is>
          <t>Cavaleiro (Knight)|Armadura|T6.2</t>
        </is>
      </c>
      <c r="B91" t="inlineStr">
        <is>
          <t>Cavaleiro (Knight)</t>
        </is>
      </c>
      <c r="C91" t="inlineStr">
        <is>
          <t>Armadura</t>
        </is>
      </c>
      <c r="D91" t="inlineStr">
        <is>
          <t>T6.2</t>
        </is>
      </c>
      <c r="E91" t="n">
        <v>6</v>
      </c>
      <c r="F91" t="n">
        <v>2</v>
      </c>
      <c r="G91" t="n">
        <v>16</v>
      </c>
      <c r="H91" s="22" t="n"/>
      <c r="I91" s="22" t="n"/>
      <c r="J91" s="22" t="n"/>
      <c r="K91" s="22" t="n"/>
      <c r="L91" s="22" t="n"/>
      <c r="M91" s="22" t="n"/>
      <c r="N91" s="22" t="n"/>
      <c r="O91" s="23">
        <f>IF(COUNT(H91:N91)=0,"",MAX(H91:N91))</f>
        <v/>
      </c>
      <c r="P91" s="24">
        <f>IF(O91="","",INDEX($H$3:$N$3,MATCH(O91,H91:N91,0)))</f>
        <v/>
      </c>
      <c r="Q91" s="23">
        <f>IF(Refino!$L$17="","",G91*Refino!$L$17*(1-RetCraft))</f>
        <v/>
      </c>
      <c r="R91" t="n">
        <v>0</v>
      </c>
      <c r="S91" t="inlineStr">
        <is>
          <t>-</t>
        </is>
      </c>
      <c r="T91" s="25">
        <f>G91*Refino!$D$17</f>
        <v/>
      </c>
      <c r="U91" s="25">
        <f>T91*0.1125*FeeCraft/100</f>
        <v/>
      </c>
      <c r="V91" s="23">
        <f>IF(OR(Q91="",R91=""),"",Q91+R91+U91)</f>
        <v/>
      </c>
      <c r="W91" s="23">
        <f>IF(O91="","",O91*(1-TaxaVenda))</f>
        <v/>
      </c>
      <c r="X91" s="26">
        <f>IF(OR(V91="",W91=""),"",W91-V91)</f>
        <v/>
      </c>
      <c r="Y91" s="27">
        <f>IF(X91="","",X91/V91)</f>
        <v/>
      </c>
    </row>
    <row r="92">
      <c r="A92" t="inlineStr">
        <is>
          <t>Cavaleiro (Knight)|Armadura|T6.3</t>
        </is>
      </c>
      <c r="B92" t="inlineStr">
        <is>
          <t>Cavaleiro (Knight)</t>
        </is>
      </c>
      <c r="C92" t="inlineStr">
        <is>
          <t>Armadura</t>
        </is>
      </c>
      <c r="D92" t="inlineStr">
        <is>
          <t>T6.3</t>
        </is>
      </c>
      <c r="E92" t="n">
        <v>6</v>
      </c>
      <c r="F92" t="n">
        <v>3</v>
      </c>
      <c r="G92" t="n">
        <v>16</v>
      </c>
      <c r="H92" s="22" t="n"/>
      <c r="I92" s="22" t="n"/>
      <c r="J92" s="22" t="n"/>
      <c r="K92" s="22" t="n"/>
      <c r="L92" s="22" t="n"/>
      <c r="M92" s="22" t="n"/>
      <c r="N92" s="22" t="n"/>
      <c r="O92" s="23">
        <f>IF(COUNT(H92:N92)=0,"",MAX(H92:N92))</f>
        <v/>
      </c>
      <c r="P92" s="24">
        <f>IF(O92="","",INDEX($H$3:$N$3,MATCH(O92,H92:N92,0)))</f>
        <v/>
      </c>
      <c r="Q92" s="23">
        <f>IF(Refino!$L$18="","",G92*Refino!$L$18*(1-RetCraft))</f>
        <v/>
      </c>
      <c r="R92" t="n">
        <v>0</v>
      </c>
      <c r="S92" t="inlineStr">
        <is>
          <t>-</t>
        </is>
      </c>
      <c r="T92" s="25">
        <f>G92*Refino!$D$18</f>
        <v/>
      </c>
      <c r="U92" s="25">
        <f>T92*0.1125*FeeCraft/100</f>
        <v/>
      </c>
      <c r="V92" s="23">
        <f>IF(OR(Q92="",R92=""),"",Q92+R92+U92)</f>
        <v/>
      </c>
      <c r="W92" s="23">
        <f>IF(O92="","",O92*(1-TaxaVenda))</f>
        <v/>
      </c>
      <c r="X92" s="26">
        <f>IF(OR(V92="",W92=""),"",W92-V92)</f>
        <v/>
      </c>
      <c r="Y92" s="27">
        <f>IF(X92="","",X92/V92)</f>
        <v/>
      </c>
    </row>
    <row r="93">
      <c r="A93" t="inlineStr">
        <is>
          <t>Cavaleiro (Knight)|Armadura|T6.4</t>
        </is>
      </c>
      <c r="B93" t="inlineStr">
        <is>
          <t>Cavaleiro (Knight)</t>
        </is>
      </c>
      <c r="C93" t="inlineStr">
        <is>
          <t>Armadura</t>
        </is>
      </c>
      <c r="D93" t="inlineStr">
        <is>
          <t>T6.4</t>
        </is>
      </c>
      <c r="E93" t="n">
        <v>6</v>
      </c>
      <c r="F93" t="n">
        <v>4</v>
      </c>
      <c r="G93" t="n">
        <v>16</v>
      </c>
      <c r="H93" s="22" t="n"/>
      <c r="I93" s="22" t="n"/>
      <c r="J93" s="22" t="n"/>
      <c r="K93" s="22" t="n"/>
      <c r="L93" s="22" t="n"/>
      <c r="M93" s="22" t="n"/>
      <c r="N93" s="22" t="n"/>
      <c r="O93" s="23">
        <f>IF(COUNT(H93:N93)=0,"",MAX(H93:N93))</f>
        <v/>
      </c>
      <c r="P93" s="24">
        <f>IF(O93="","",INDEX($H$3:$N$3,MATCH(O93,H93:N93,0)))</f>
        <v/>
      </c>
      <c r="Q93" s="23">
        <f>IF(Refino!$L$19="","",G93*Refino!$L$19*(1-RetCraft))</f>
        <v/>
      </c>
      <c r="R93" t="n">
        <v>0</v>
      </c>
      <c r="S93" t="inlineStr">
        <is>
          <t>-</t>
        </is>
      </c>
      <c r="T93" s="25">
        <f>G93*Refino!$D$19</f>
        <v/>
      </c>
      <c r="U93" s="25">
        <f>T93*0.1125*FeeCraft/100</f>
        <v/>
      </c>
      <c r="V93" s="23">
        <f>IF(OR(Q93="",R93=""),"",Q93+R93+U93)</f>
        <v/>
      </c>
      <c r="W93" s="23">
        <f>IF(O93="","",O93*(1-TaxaVenda))</f>
        <v/>
      </c>
      <c r="X93" s="26">
        <f>IF(OR(V93="",W93=""),"",W93-V93)</f>
        <v/>
      </c>
      <c r="Y93" s="27">
        <f>IF(X93="","",X93/V93)</f>
        <v/>
      </c>
    </row>
    <row r="94">
      <c r="A94" t="inlineStr">
        <is>
          <t>Cavaleiro (Knight)|Armadura|T7.0</t>
        </is>
      </c>
      <c r="B94" t="inlineStr">
        <is>
          <t>Cavaleiro (Knight)</t>
        </is>
      </c>
      <c r="C94" t="inlineStr">
        <is>
          <t>Armadura</t>
        </is>
      </c>
      <c r="D94" t="inlineStr">
        <is>
          <t>T7.0</t>
        </is>
      </c>
      <c r="E94" t="n">
        <v>7</v>
      </c>
      <c r="F94" t="n">
        <v>0</v>
      </c>
      <c r="G94" t="n">
        <v>16</v>
      </c>
      <c r="H94" s="22" t="n"/>
      <c r="I94" s="22" t="n"/>
      <c r="J94" s="22" t="n"/>
      <c r="K94" s="22" t="n"/>
      <c r="L94" s="22" t="n"/>
      <c r="M94" s="22" t="n"/>
      <c r="N94" s="22" t="n"/>
      <c r="O94" s="23">
        <f>IF(COUNT(H94:N94)=0,"",MAX(H94:N94))</f>
        <v/>
      </c>
      <c r="P94" s="24">
        <f>IF(O94="","",INDEX($H$3:$N$3,MATCH(O94,H94:N94,0)))</f>
        <v/>
      </c>
      <c r="Q94" s="23">
        <f>IF(Refino!$L$20="","",G94*Refino!$L$20*(1-RetCraft))</f>
        <v/>
      </c>
      <c r="R94" t="n">
        <v>0</v>
      </c>
      <c r="S94" t="inlineStr">
        <is>
          <t>-</t>
        </is>
      </c>
      <c r="T94" s="25">
        <f>G94*Refino!$D$20</f>
        <v/>
      </c>
      <c r="U94" s="25">
        <f>T94*0.1125*FeeCraft/100</f>
        <v/>
      </c>
      <c r="V94" s="23">
        <f>IF(OR(Q94="",R94=""),"",Q94+R94+U94)</f>
        <v/>
      </c>
      <c r="W94" s="23">
        <f>IF(O94="","",O94*(1-TaxaVenda))</f>
        <v/>
      </c>
      <c r="X94" s="26">
        <f>IF(OR(V94="",W94=""),"",W94-V94)</f>
        <v/>
      </c>
      <c r="Y94" s="27">
        <f>IF(X94="","",X94/V94)</f>
        <v/>
      </c>
    </row>
    <row r="95">
      <c r="A95" t="inlineStr">
        <is>
          <t>Cavaleiro (Knight)|Armadura|T7.1</t>
        </is>
      </c>
      <c r="B95" t="inlineStr">
        <is>
          <t>Cavaleiro (Knight)</t>
        </is>
      </c>
      <c r="C95" t="inlineStr">
        <is>
          <t>Armadura</t>
        </is>
      </c>
      <c r="D95" t="inlineStr">
        <is>
          <t>T7.1</t>
        </is>
      </c>
      <c r="E95" t="n">
        <v>7</v>
      </c>
      <c r="F95" t="n">
        <v>1</v>
      </c>
      <c r="G95" t="n">
        <v>16</v>
      </c>
      <c r="H95" s="22" t="n"/>
      <c r="I95" s="22" t="n"/>
      <c r="J95" s="22" t="n"/>
      <c r="K95" s="22" t="n"/>
      <c r="L95" s="22" t="n"/>
      <c r="M95" s="22" t="n"/>
      <c r="N95" s="22" t="n"/>
      <c r="O95" s="23">
        <f>IF(COUNT(H95:N95)=0,"",MAX(H95:N95))</f>
        <v/>
      </c>
      <c r="P95" s="24">
        <f>IF(O95="","",INDEX($H$3:$N$3,MATCH(O95,H95:N95,0)))</f>
        <v/>
      </c>
      <c r="Q95" s="23">
        <f>IF(Refino!$L$21="","",G95*Refino!$L$21*(1-RetCraft))</f>
        <v/>
      </c>
      <c r="R95" t="n">
        <v>0</v>
      </c>
      <c r="S95" t="inlineStr">
        <is>
          <t>-</t>
        </is>
      </c>
      <c r="T95" s="25">
        <f>G95*Refino!$D$21</f>
        <v/>
      </c>
      <c r="U95" s="25">
        <f>T95*0.1125*FeeCraft/100</f>
        <v/>
      </c>
      <c r="V95" s="23">
        <f>IF(OR(Q95="",R95=""),"",Q95+R95+U95)</f>
        <v/>
      </c>
      <c r="W95" s="23">
        <f>IF(O95="","",O95*(1-TaxaVenda))</f>
        <v/>
      </c>
      <c r="X95" s="26">
        <f>IF(OR(V95="",W95=""),"",W95-V95)</f>
        <v/>
      </c>
      <c r="Y95" s="27">
        <f>IF(X95="","",X95/V95)</f>
        <v/>
      </c>
    </row>
    <row r="96">
      <c r="A96" t="inlineStr">
        <is>
          <t>Cavaleiro (Knight)|Armadura|T7.2</t>
        </is>
      </c>
      <c r="B96" t="inlineStr">
        <is>
          <t>Cavaleiro (Knight)</t>
        </is>
      </c>
      <c r="C96" t="inlineStr">
        <is>
          <t>Armadura</t>
        </is>
      </c>
      <c r="D96" t="inlineStr">
        <is>
          <t>T7.2</t>
        </is>
      </c>
      <c r="E96" t="n">
        <v>7</v>
      </c>
      <c r="F96" t="n">
        <v>2</v>
      </c>
      <c r="G96" t="n">
        <v>16</v>
      </c>
      <c r="H96" s="22" t="n"/>
      <c r="I96" s="22" t="n"/>
      <c r="J96" s="22" t="n"/>
      <c r="K96" s="22" t="n"/>
      <c r="L96" s="22" t="n"/>
      <c r="M96" s="22" t="n"/>
      <c r="N96" s="22" t="n"/>
      <c r="O96" s="23">
        <f>IF(COUNT(H96:N96)=0,"",MAX(H96:N96))</f>
        <v/>
      </c>
      <c r="P96" s="24">
        <f>IF(O96="","",INDEX($H$3:$N$3,MATCH(O96,H96:N96,0)))</f>
        <v/>
      </c>
      <c r="Q96" s="23">
        <f>IF(Refino!$L$22="","",G96*Refino!$L$22*(1-RetCraft))</f>
        <v/>
      </c>
      <c r="R96" t="n">
        <v>0</v>
      </c>
      <c r="S96" t="inlineStr">
        <is>
          <t>-</t>
        </is>
      </c>
      <c r="T96" s="25">
        <f>G96*Refino!$D$22</f>
        <v/>
      </c>
      <c r="U96" s="25">
        <f>T96*0.1125*FeeCraft/100</f>
        <v/>
      </c>
      <c r="V96" s="23">
        <f>IF(OR(Q96="",R96=""),"",Q96+R96+U96)</f>
        <v/>
      </c>
      <c r="W96" s="23">
        <f>IF(O96="","",O96*(1-TaxaVenda))</f>
        <v/>
      </c>
      <c r="X96" s="26">
        <f>IF(OR(V96="",W96=""),"",W96-V96)</f>
        <v/>
      </c>
      <c r="Y96" s="27">
        <f>IF(X96="","",X96/V96)</f>
        <v/>
      </c>
    </row>
    <row r="97">
      <c r="A97" t="inlineStr">
        <is>
          <t>Cavaleiro (Knight)|Armadura|T7.3</t>
        </is>
      </c>
      <c r="B97" t="inlineStr">
        <is>
          <t>Cavaleiro (Knight)</t>
        </is>
      </c>
      <c r="C97" t="inlineStr">
        <is>
          <t>Armadura</t>
        </is>
      </c>
      <c r="D97" t="inlineStr">
        <is>
          <t>T7.3</t>
        </is>
      </c>
      <c r="E97" t="n">
        <v>7</v>
      </c>
      <c r="F97" t="n">
        <v>3</v>
      </c>
      <c r="G97" t="n">
        <v>16</v>
      </c>
      <c r="H97" s="22" t="n"/>
      <c r="I97" s="22" t="n"/>
      <c r="J97" s="22" t="n"/>
      <c r="K97" s="22" t="n"/>
      <c r="L97" s="22" t="n"/>
      <c r="M97" s="22" t="n"/>
      <c r="N97" s="22" t="n"/>
      <c r="O97" s="23">
        <f>IF(COUNT(H97:N97)=0,"",MAX(H97:N97))</f>
        <v/>
      </c>
      <c r="P97" s="24">
        <f>IF(O97="","",INDEX($H$3:$N$3,MATCH(O97,H97:N97,0)))</f>
        <v/>
      </c>
      <c r="Q97" s="23">
        <f>IF(Refino!$L$23="","",G97*Refino!$L$23*(1-RetCraft))</f>
        <v/>
      </c>
      <c r="R97" t="n">
        <v>0</v>
      </c>
      <c r="S97" t="inlineStr">
        <is>
          <t>-</t>
        </is>
      </c>
      <c r="T97" s="25">
        <f>G97*Refino!$D$23</f>
        <v/>
      </c>
      <c r="U97" s="25">
        <f>T97*0.1125*FeeCraft/100</f>
        <v/>
      </c>
      <c r="V97" s="23">
        <f>IF(OR(Q97="",R97=""),"",Q97+R97+U97)</f>
        <v/>
      </c>
      <c r="W97" s="23">
        <f>IF(O97="","",O97*(1-TaxaVenda))</f>
        <v/>
      </c>
      <c r="X97" s="26">
        <f>IF(OR(V97="",W97=""),"",W97-V97)</f>
        <v/>
      </c>
      <c r="Y97" s="27">
        <f>IF(X97="","",X97/V97)</f>
        <v/>
      </c>
    </row>
    <row r="98">
      <c r="A98" t="inlineStr">
        <is>
          <t>Cavaleiro (Knight)|Armadura|T7.4</t>
        </is>
      </c>
      <c r="B98" t="inlineStr">
        <is>
          <t>Cavaleiro (Knight)</t>
        </is>
      </c>
      <c r="C98" t="inlineStr">
        <is>
          <t>Armadura</t>
        </is>
      </c>
      <c r="D98" t="inlineStr">
        <is>
          <t>T7.4</t>
        </is>
      </c>
      <c r="E98" t="n">
        <v>7</v>
      </c>
      <c r="F98" t="n">
        <v>4</v>
      </c>
      <c r="G98" t="n">
        <v>16</v>
      </c>
      <c r="H98" s="22" t="n"/>
      <c r="I98" s="22" t="n"/>
      <c r="J98" s="22" t="n"/>
      <c r="K98" s="22" t="n"/>
      <c r="L98" s="22" t="n"/>
      <c r="M98" s="22" t="n"/>
      <c r="N98" s="22" t="n"/>
      <c r="O98" s="23">
        <f>IF(COUNT(H98:N98)=0,"",MAX(H98:N98))</f>
        <v/>
      </c>
      <c r="P98" s="24">
        <f>IF(O98="","",INDEX($H$3:$N$3,MATCH(O98,H98:N98,0)))</f>
        <v/>
      </c>
      <c r="Q98" s="23">
        <f>IF(Refino!$L$24="","",G98*Refino!$L$24*(1-RetCraft))</f>
        <v/>
      </c>
      <c r="R98" t="n">
        <v>0</v>
      </c>
      <c r="S98" t="inlineStr">
        <is>
          <t>-</t>
        </is>
      </c>
      <c r="T98" s="25">
        <f>G98*Refino!$D$24</f>
        <v/>
      </c>
      <c r="U98" s="25">
        <f>T98*0.1125*FeeCraft/100</f>
        <v/>
      </c>
      <c r="V98" s="23">
        <f>IF(OR(Q98="",R98=""),"",Q98+R98+U98)</f>
        <v/>
      </c>
      <c r="W98" s="23">
        <f>IF(O98="","",O98*(1-TaxaVenda))</f>
        <v/>
      </c>
      <c r="X98" s="26">
        <f>IF(OR(V98="",W98=""),"",W98-V98)</f>
        <v/>
      </c>
      <c r="Y98" s="27">
        <f>IF(X98="","",X98/V98)</f>
        <v/>
      </c>
    </row>
    <row r="99">
      <c r="A99" t="inlineStr">
        <is>
          <t>Cavaleiro (Knight)|Armadura|T8.0</t>
        </is>
      </c>
      <c r="B99" t="inlineStr">
        <is>
          <t>Cavaleiro (Knight)</t>
        </is>
      </c>
      <c r="C99" t="inlineStr">
        <is>
          <t>Armadura</t>
        </is>
      </c>
      <c r="D99" t="inlineStr">
        <is>
          <t>T8.0</t>
        </is>
      </c>
      <c r="E99" t="n">
        <v>8</v>
      </c>
      <c r="F99" t="n">
        <v>0</v>
      </c>
      <c r="G99" t="n">
        <v>16</v>
      </c>
      <c r="H99" s="22" t="n"/>
      <c r="I99" s="22" t="n"/>
      <c r="J99" s="22" t="n"/>
      <c r="K99" s="22" t="n"/>
      <c r="L99" s="22" t="n"/>
      <c r="M99" s="22" t="n"/>
      <c r="N99" s="22" t="n"/>
      <c r="O99" s="23">
        <f>IF(COUNT(H99:N99)=0,"",MAX(H99:N99))</f>
        <v/>
      </c>
      <c r="P99" s="24">
        <f>IF(O99="","",INDEX($H$3:$N$3,MATCH(O99,H99:N99,0)))</f>
        <v/>
      </c>
      <c r="Q99" s="23">
        <f>IF(Refino!$L$25="","",G99*Refino!$L$25*(1-RetCraft))</f>
        <v/>
      </c>
      <c r="R99" t="n">
        <v>0</v>
      </c>
      <c r="S99" t="inlineStr">
        <is>
          <t>-</t>
        </is>
      </c>
      <c r="T99" s="25">
        <f>G99*Refino!$D$25</f>
        <v/>
      </c>
      <c r="U99" s="25">
        <f>T99*0.1125*FeeCraft/100</f>
        <v/>
      </c>
      <c r="V99" s="23">
        <f>IF(OR(Q99="",R99=""),"",Q99+R99+U99)</f>
        <v/>
      </c>
      <c r="W99" s="23">
        <f>IF(O99="","",O99*(1-TaxaVenda))</f>
        <v/>
      </c>
      <c r="X99" s="26">
        <f>IF(OR(V99="",W99=""),"",W99-V99)</f>
        <v/>
      </c>
      <c r="Y99" s="27">
        <f>IF(X99="","",X99/V99)</f>
        <v/>
      </c>
    </row>
    <row r="100">
      <c r="A100" t="inlineStr">
        <is>
          <t>Cavaleiro (Knight)|Armadura|T8.1</t>
        </is>
      </c>
      <c r="B100" t="inlineStr">
        <is>
          <t>Cavaleiro (Knight)</t>
        </is>
      </c>
      <c r="C100" t="inlineStr">
        <is>
          <t>Armadura</t>
        </is>
      </c>
      <c r="D100" t="inlineStr">
        <is>
          <t>T8.1</t>
        </is>
      </c>
      <c r="E100" t="n">
        <v>8</v>
      </c>
      <c r="F100" t="n">
        <v>1</v>
      </c>
      <c r="G100" t="n">
        <v>16</v>
      </c>
      <c r="H100" s="22" t="n"/>
      <c r="I100" s="22" t="n"/>
      <c r="J100" s="22" t="n"/>
      <c r="K100" s="22" t="n"/>
      <c r="L100" s="22" t="n"/>
      <c r="M100" s="22" t="n"/>
      <c r="N100" s="22" t="n"/>
      <c r="O100" s="23">
        <f>IF(COUNT(H100:N100)=0,"",MAX(H100:N100))</f>
        <v/>
      </c>
      <c r="P100" s="24">
        <f>IF(O100="","",INDEX($H$3:$N$3,MATCH(O100,H100:N100,0)))</f>
        <v/>
      </c>
      <c r="Q100" s="23">
        <f>IF(Refino!$L$26="","",G100*Refino!$L$26*(1-RetCraft))</f>
        <v/>
      </c>
      <c r="R100" t="n">
        <v>0</v>
      </c>
      <c r="S100" t="inlineStr">
        <is>
          <t>-</t>
        </is>
      </c>
      <c r="T100" s="25">
        <f>G100*Refino!$D$26</f>
        <v/>
      </c>
      <c r="U100" s="25">
        <f>T100*0.1125*FeeCraft/100</f>
        <v/>
      </c>
      <c r="V100" s="23">
        <f>IF(OR(Q100="",R100=""),"",Q100+R100+U100)</f>
        <v/>
      </c>
      <c r="W100" s="23">
        <f>IF(O100="","",O100*(1-TaxaVenda))</f>
        <v/>
      </c>
      <c r="X100" s="26">
        <f>IF(OR(V100="",W100=""),"",W100-V100)</f>
        <v/>
      </c>
      <c r="Y100" s="27">
        <f>IF(X100="","",X100/V100)</f>
        <v/>
      </c>
    </row>
    <row r="101">
      <c r="A101" t="inlineStr">
        <is>
          <t>Cavaleiro (Knight)|Armadura|T8.2</t>
        </is>
      </c>
      <c r="B101" t="inlineStr">
        <is>
          <t>Cavaleiro (Knight)</t>
        </is>
      </c>
      <c r="C101" t="inlineStr">
        <is>
          <t>Armadura</t>
        </is>
      </c>
      <c r="D101" t="inlineStr">
        <is>
          <t>T8.2</t>
        </is>
      </c>
      <c r="E101" t="n">
        <v>8</v>
      </c>
      <c r="F101" t="n">
        <v>2</v>
      </c>
      <c r="G101" t="n">
        <v>16</v>
      </c>
      <c r="H101" s="22" t="n"/>
      <c r="I101" s="22" t="n"/>
      <c r="J101" s="22" t="n"/>
      <c r="K101" s="22" t="n"/>
      <c r="L101" s="22" t="n"/>
      <c r="M101" s="22" t="n"/>
      <c r="N101" s="22" t="n"/>
      <c r="O101" s="23">
        <f>IF(COUNT(H101:N101)=0,"",MAX(H101:N101))</f>
        <v/>
      </c>
      <c r="P101" s="24">
        <f>IF(O101="","",INDEX($H$3:$N$3,MATCH(O101,H101:N101,0)))</f>
        <v/>
      </c>
      <c r="Q101" s="23">
        <f>IF(Refino!$L$27="","",G101*Refino!$L$27*(1-RetCraft))</f>
        <v/>
      </c>
      <c r="R101" t="n">
        <v>0</v>
      </c>
      <c r="S101" t="inlineStr">
        <is>
          <t>-</t>
        </is>
      </c>
      <c r="T101" s="25">
        <f>G101*Refino!$D$27</f>
        <v/>
      </c>
      <c r="U101" s="25">
        <f>T101*0.1125*FeeCraft/100</f>
        <v/>
      </c>
      <c r="V101" s="23">
        <f>IF(OR(Q101="",R101=""),"",Q101+R101+U101)</f>
        <v/>
      </c>
      <c r="W101" s="23">
        <f>IF(O101="","",O101*(1-TaxaVenda))</f>
        <v/>
      </c>
      <c r="X101" s="26">
        <f>IF(OR(V101="",W101=""),"",W101-V101)</f>
        <v/>
      </c>
      <c r="Y101" s="27">
        <f>IF(X101="","",X101/V101)</f>
        <v/>
      </c>
    </row>
    <row r="102">
      <c r="A102" t="inlineStr">
        <is>
          <t>Cavaleiro (Knight)|Armadura|T8.3</t>
        </is>
      </c>
      <c r="B102" t="inlineStr">
        <is>
          <t>Cavaleiro (Knight)</t>
        </is>
      </c>
      <c r="C102" t="inlineStr">
        <is>
          <t>Armadura</t>
        </is>
      </c>
      <c r="D102" t="inlineStr">
        <is>
          <t>T8.3</t>
        </is>
      </c>
      <c r="E102" t="n">
        <v>8</v>
      </c>
      <c r="F102" t="n">
        <v>3</v>
      </c>
      <c r="G102" t="n">
        <v>16</v>
      </c>
      <c r="H102" s="22" t="n"/>
      <c r="I102" s="22" t="n"/>
      <c r="J102" s="22" t="n"/>
      <c r="K102" s="22" t="n"/>
      <c r="L102" s="22" t="n"/>
      <c r="M102" s="22" t="n"/>
      <c r="N102" s="22" t="n"/>
      <c r="O102" s="23">
        <f>IF(COUNT(H102:N102)=0,"",MAX(H102:N102))</f>
        <v/>
      </c>
      <c r="P102" s="24">
        <f>IF(O102="","",INDEX($H$3:$N$3,MATCH(O102,H102:N102,0)))</f>
        <v/>
      </c>
      <c r="Q102" s="23">
        <f>IF(Refino!$L$28="","",G102*Refino!$L$28*(1-RetCraft))</f>
        <v/>
      </c>
      <c r="R102" t="n">
        <v>0</v>
      </c>
      <c r="S102" t="inlineStr">
        <is>
          <t>-</t>
        </is>
      </c>
      <c r="T102" s="25">
        <f>G102*Refino!$D$28</f>
        <v/>
      </c>
      <c r="U102" s="25">
        <f>T102*0.1125*FeeCraft/100</f>
        <v/>
      </c>
      <c r="V102" s="23">
        <f>IF(OR(Q102="",R102=""),"",Q102+R102+U102)</f>
        <v/>
      </c>
      <c r="W102" s="23">
        <f>IF(O102="","",O102*(1-TaxaVenda))</f>
        <v/>
      </c>
      <c r="X102" s="26">
        <f>IF(OR(V102="",W102=""),"",W102-V102)</f>
        <v/>
      </c>
      <c r="Y102" s="27">
        <f>IF(X102="","",X102/V102)</f>
        <v/>
      </c>
    </row>
    <row r="103">
      <c r="A103" t="inlineStr">
        <is>
          <t>Cavaleiro (Knight)|Armadura|T8.4</t>
        </is>
      </c>
      <c r="B103" t="inlineStr">
        <is>
          <t>Cavaleiro (Knight)</t>
        </is>
      </c>
      <c r="C103" t="inlineStr">
        <is>
          <t>Armadura</t>
        </is>
      </c>
      <c r="D103" t="inlineStr">
        <is>
          <t>T8.4</t>
        </is>
      </c>
      <c r="E103" t="n">
        <v>8</v>
      </c>
      <c r="F103" t="n">
        <v>4</v>
      </c>
      <c r="G103" t="n">
        <v>16</v>
      </c>
      <c r="H103" s="22" t="n"/>
      <c r="I103" s="22" t="n"/>
      <c r="J103" s="22" t="n"/>
      <c r="K103" s="22" t="n"/>
      <c r="L103" s="22" t="n"/>
      <c r="M103" s="22" t="n"/>
      <c r="N103" s="22" t="n"/>
      <c r="O103" s="23">
        <f>IF(COUNT(H103:N103)=0,"",MAX(H103:N103))</f>
        <v/>
      </c>
      <c r="P103" s="24">
        <f>IF(O103="","",INDEX($H$3:$N$3,MATCH(O103,H103:N103,0)))</f>
        <v/>
      </c>
      <c r="Q103" s="23">
        <f>IF(Refino!$L$29="","",G103*Refino!$L$29*(1-RetCraft))</f>
        <v/>
      </c>
      <c r="R103" t="n">
        <v>0</v>
      </c>
      <c r="S103" t="inlineStr">
        <is>
          <t>-</t>
        </is>
      </c>
      <c r="T103" s="25">
        <f>G103*Refino!$D$29</f>
        <v/>
      </c>
      <c r="U103" s="25">
        <f>T103*0.1125*FeeCraft/100</f>
        <v/>
      </c>
      <c r="V103" s="23">
        <f>IF(OR(Q103="",R103=""),"",Q103+R103+U103)</f>
        <v/>
      </c>
      <c r="W103" s="23">
        <f>IF(O103="","",O103*(1-TaxaVenda))</f>
        <v/>
      </c>
      <c r="X103" s="26">
        <f>IF(OR(V103="",W103=""),"",W103-V103)</f>
        <v/>
      </c>
      <c r="Y103" s="27">
        <f>IF(X103="","",X103/V103)</f>
        <v/>
      </c>
    </row>
    <row r="104">
      <c r="A104" t="inlineStr">
        <is>
          <t>Cavaleiro (Knight)|Elmo|T4.0</t>
        </is>
      </c>
      <c r="B104" t="inlineStr">
        <is>
          <t>Cavaleiro (Knight)</t>
        </is>
      </c>
      <c r="C104" t="inlineStr">
        <is>
          <t>Elmo</t>
        </is>
      </c>
      <c r="D104" t="inlineStr">
        <is>
          <t>T4.0</t>
        </is>
      </c>
      <c r="E104" t="n">
        <v>4</v>
      </c>
      <c r="F104" t="n">
        <v>0</v>
      </c>
      <c r="G104" t="n">
        <v>8</v>
      </c>
      <c r="H104" s="22" t="n"/>
      <c r="I104" s="22" t="n"/>
      <c r="J104" s="22" t="n"/>
      <c r="K104" s="22" t="n"/>
      <c r="L104" s="22" t="n"/>
      <c r="M104" s="22" t="n"/>
      <c r="N104" s="22" t="n"/>
      <c r="O104" s="23">
        <f>IF(COUNT(H104:N104)=0,"",MAX(H104:N104))</f>
        <v/>
      </c>
      <c r="P104" s="24">
        <f>IF(O104="","",INDEX($H$3:$N$3,MATCH(O104,H104:N104,0)))</f>
        <v/>
      </c>
      <c r="Q104" s="23">
        <f>IF(Refino!$L$5="","",G104*Refino!$L$5*(1-RetCraft))</f>
        <v/>
      </c>
      <c r="R104" t="n">
        <v>0</v>
      </c>
      <c r="S104" t="inlineStr">
        <is>
          <t>-</t>
        </is>
      </c>
      <c r="T104" s="25">
        <f>G104*Refino!$D$5</f>
        <v/>
      </c>
      <c r="U104" s="25">
        <f>T104*0.1125*FeeCraft/100</f>
        <v/>
      </c>
      <c r="V104" s="23">
        <f>IF(OR(Q104="",R104=""),"",Q104+R104+U104)</f>
        <v/>
      </c>
      <c r="W104" s="23">
        <f>IF(O104="","",O104*(1-TaxaVenda))</f>
        <v/>
      </c>
      <c r="X104" s="26">
        <f>IF(OR(V104="",W104=""),"",W104-V104)</f>
        <v/>
      </c>
      <c r="Y104" s="27">
        <f>IF(X104="","",X104/V104)</f>
        <v/>
      </c>
    </row>
    <row r="105">
      <c r="A105" t="inlineStr">
        <is>
          <t>Cavaleiro (Knight)|Elmo|T4.1</t>
        </is>
      </c>
      <c r="B105" t="inlineStr">
        <is>
          <t>Cavaleiro (Knight)</t>
        </is>
      </c>
      <c r="C105" t="inlineStr">
        <is>
          <t>Elmo</t>
        </is>
      </c>
      <c r="D105" t="inlineStr">
        <is>
          <t>T4.1</t>
        </is>
      </c>
      <c r="E105" t="n">
        <v>4</v>
      </c>
      <c r="F105" t="n">
        <v>1</v>
      </c>
      <c r="G105" t="n">
        <v>8</v>
      </c>
      <c r="H105" s="22" t="n"/>
      <c r="I105" s="22" t="n"/>
      <c r="J105" s="22" t="n"/>
      <c r="K105" s="22" t="n"/>
      <c r="L105" s="22" t="n"/>
      <c r="M105" s="22" t="n"/>
      <c r="N105" s="22" t="n"/>
      <c r="O105" s="23">
        <f>IF(COUNT(H105:N105)=0,"",MAX(H105:N105))</f>
        <v/>
      </c>
      <c r="P105" s="24">
        <f>IF(O105="","",INDEX($H$3:$N$3,MATCH(O105,H105:N105,0)))</f>
        <v/>
      </c>
      <c r="Q105" s="23">
        <f>IF(Refino!$L$6="","",G105*Refino!$L$6*(1-RetCraft))</f>
        <v/>
      </c>
      <c r="R105" t="n">
        <v>0</v>
      </c>
      <c r="S105" t="inlineStr">
        <is>
          <t>-</t>
        </is>
      </c>
      <c r="T105" s="25">
        <f>G105*Refino!$D$6</f>
        <v/>
      </c>
      <c r="U105" s="25">
        <f>T105*0.1125*FeeCraft/100</f>
        <v/>
      </c>
      <c r="V105" s="23">
        <f>IF(OR(Q105="",R105=""),"",Q105+R105+U105)</f>
        <v/>
      </c>
      <c r="W105" s="23">
        <f>IF(O105="","",O105*(1-TaxaVenda))</f>
        <v/>
      </c>
      <c r="X105" s="26">
        <f>IF(OR(V105="",W105=""),"",W105-V105)</f>
        <v/>
      </c>
      <c r="Y105" s="27">
        <f>IF(X105="","",X105/V105)</f>
        <v/>
      </c>
    </row>
    <row r="106">
      <c r="A106" t="inlineStr">
        <is>
          <t>Cavaleiro (Knight)|Elmo|T4.2</t>
        </is>
      </c>
      <c r="B106" t="inlineStr">
        <is>
          <t>Cavaleiro (Knight)</t>
        </is>
      </c>
      <c r="C106" t="inlineStr">
        <is>
          <t>Elmo</t>
        </is>
      </c>
      <c r="D106" t="inlineStr">
        <is>
          <t>T4.2</t>
        </is>
      </c>
      <c r="E106" t="n">
        <v>4</v>
      </c>
      <c r="F106" t="n">
        <v>2</v>
      </c>
      <c r="G106" t="n">
        <v>8</v>
      </c>
      <c r="H106" s="22" t="n"/>
      <c r="I106" s="22" t="n"/>
      <c r="J106" s="22" t="n"/>
      <c r="K106" s="22" t="n"/>
      <c r="L106" s="22" t="n"/>
      <c r="M106" s="22" t="n"/>
      <c r="N106" s="22" t="n"/>
      <c r="O106" s="23">
        <f>IF(COUNT(H106:N106)=0,"",MAX(H106:N106))</f>
        <v/>
      </c>
      <c r="P106" s="24">
        <f>IF(O106="","",INDEX($H$3:$N$3,MATCH(O106,H106:N106,0)))</f>
        <v/>
      </c>
      <c r="Q106" s="23">
        <f>IF(Refino!$L$7="","",G106*Refino!$L$7*(1-RetCraft))</f>
        <v/>
      </c>
      <c r="R106" t="n">
        <v>0</v>
      </c>
      <c r="S106" t="inlineStr">
        <is>
          <t>-</t>
        </is>
      </c>
      <c r="T106" s="25">
        <f>G106*Refino!$D$7</f>
        <v/>
      </c>
      <c r="U106" s="25">
        <f>T106*0.1125*FeeCraft/100</f>
        <v/>
      </c>
      <c r="V106" s="23">
        <f>IF(OR(Q106="",R106=""),"",Q106+R106+U106)</f>
        <v/>
      </c>
      <c r="W106" s="23">
        <f>IF(O106="","",O106*(1-TaxaVenda))</f>
        <v/>
      </c>
      <c r="X106" s="26">
        <f>IF(OR(V106="",W106=""),"",W106-V106)</f>
        <v/>
      </c>
      <c r="Y106" s="27">
        <f>IF(X106="","",X106/V106)</f>
        <v/>
      </c>
    </row>
    <row r="107">
      <c r="A107" t="inlineStr">
        <is>
          <t>Cavaleiro (Knight)|Elmo|T4.3</t>
        </is>
      </c>
      <c r="B107" t="inlineStr">
        <is>
          <t>Cavaleiro (Knight)</t>
        </is>
      </c>
      <c r="C107" t="inlineStr">
        <is>
          <t>Elmo</t>
        </is>
      </c>
      <c r="D107" t="inlineStr">
        <is>
          <t>T4.3</t>
        </is>
      </c>
      <c r="E107" t="n">
        <v>4</v>
      </c>
      <c r="F107" t="n">
        <v>3</v>
      </c>
      <c r="G107" t="n">
        <v>8</v>
      </c>
      <c r="H107" s="22" t="n"/>
      <c r="I107" s="22" t="n"/>
      <c r="J107" s="22" t="n"/>
      <c r="K107" s="22" t="n"/>
      <c r="L107" s="22" t="n"/>
      <c r="M107" s="22" t="n"/>
      <c r="N107" s="22" t="n"/>
      <c r="O107" s="23">
        <f>IF(COUNT(H107:N107)=0,"",MAX(H107:N107))</f>
        <v/>
      </c>
      <c r="P107" s="24">
        <f>IF(O107="","",INDEX($H$3:$N$3,MATCH(O107,H107:N107,0)))</f>
        <v/>
      </c>
      <c r="Q107" s="23">
        <f>IF(Refino!$L$8="","",G107*Refino!$L$8*(1-RetCraft))</f>
        <v/>
      </c>
      <c r="R107" t="n">
        <v>0</v>
      </c>
      <c r="S107" t="inlineStr">
        <is>
          <t>-</t>
        </is>
      </c>
      <c r="T107" s="25">
        <f>G107*Refino!$D$8</f>
        <v/>
      </c>
      <c r="U107" s="25">
        <f>T107*0.1125*FeeCraft/100</f>
        <v/>
      </c>
      <c r="V107" s="23">
        <f>IF(OR(Q107="",R107=""),"",Q107+R107+U107)</f>
        <v/>
      </c>
      <c r="W107" s="23">
        <f>IF(O107="","",O107*(1-TaxaVenda))</f>
        <v/>
      </c>
      <c r="X107" s="26">
        <f>IF(OR(V107="",W107=""),"",W107-V107)</f>
        <v/>
      </c>
      <c r="Y107" s="27">
        <f>IF(X107="","",X107/V107)</f>
        <v/>
      </c>
    </row>
    <row r="108">
      <c r="A108" t="inlineStr">
        <is>
          <t>Cavaleiro (Knight)|Elmo|T4.4</t>
        </is>
      </c>
      <c r="B108" t="inlineStr">
        <is>
          <t>Cavaleiro (Knight)</t>
        </is>
      </c>
      <c r="C108" t="inlineStr">
        <is>
          <t>Elmo</t>
        </is>
      </c>
      <c r="D108" t="inlineStr">
        <is>
          <t>T4.4</t>
        </is>
      </c>
      <c r="E108" t="n">
        <v>4</v>
      </c>
      <c r="F108" t="n">
        <v>4</v>
      </c>
      <c r="G108" t="n">
        <v>8</v>
      </c>
      <c r="H108" s="22" t="n"/>
      <c r="I108" s="22" t="n"/>
      <c r="J108" s="22" t="n"/>
      <c r="K108" s="22" t="n"/>
      <c r="L108" s="22" t="n"/>
      <c r="M108" s="22" t="n"/>
      <c r="N108" s="22" t="n"/>
      <c r="O108" s="23">
        <f>IF(COUNT(H108:N108)=0,"",MAX(H108:N108))</f>
        <v/>
      </c>
      <c r="P108" s="24">
        <f>IF(O108="","",INDEX($H$3:$N$3,MATCH(O108,H108:N108,0)))</f>
        <v/>
      </c>
      <c r="Q108" s="23">
        <f>IF(Refino!$L$9="","",G108*Refino!$L$9*(1-RetCraft))</f>
        <v/>
      </c>
      <c r="R108" t="n">
        <v>0</v>
      </c>
      <c r="S108" t="inlineStr">
        <is>
          <t>-</t>
        </is>
      </c>
      <c r="T108" s="25">
        <f>G108*Refino!$D$9</f>
        <v/>
      </c>
      <c r="U108" s="25">
        <f>T108*0.1125*FeeCraft/100</f>
        <v/>
      </c>
      <c r="V108" s="23">
        <f>IF(OR(Q108="",R108=""),"",Q108+R108+U108)</f>
        <v/>
      </c>
      <c r="W108" s="23">
        <f>IF(O108="","",O108*(1-TaxaVenda))</f>
        <v/>
      </c>
      <c r="X108" s="26">
        <f>IF(OR(V108="",W108=""),"",W108-V108)</f>
        <v/>
      </c>
      <c r="Y108" s="27">
        <f>IF(X108="","",X108/V108)</f>
        <v/>
      </c>
    </row>
    <row r="109">
      <c r="A109" t="inlineStr">
        <is>
          <t>Cavaleiro (Knight)|Elmo|T5.0</t>
        </is>
      </c>
      <c r="B109" t="inlineStr">
        <is>
          <t>Cavaleiro (Knight)</t>
        </is>
      </c>
      <c r="C109" t="inlineStr">
        <is>
          <t>Elmo</t>
        </is>
      </c>
      <c r="D109" t="inlineStr">
        <is>
          <t>T5.0</t>
        </is>
      </c>
      <c r="E109" t="n">
        <v>5</v>
      </c>
      <c r="F109" t="n">
        <v>0</v>
      </c>
      <c r="G109" t="n">
        <v>8</v>
      </c>
      <c r="H109" s="22" t="n"/>
      <c r="I109" s="22" t="n"/>
      <c r="J109" s="22" t="n"/>
      <c r="K109" s="22" t="n"/>
      <c r="L109" s="22" t="n"/>
      <c r="M109" s="22" t="n"/>
      <c r="N109" s="22" t="n"/>
      <c r="O109" s="23">
        <f>IF(COUNT(H109:N109)=0,"",MAX(H109:N109))</f>
        <v/>
      </c>
      <c r="P109" s="24">
        <f>IF(O109="","",INDEX($H$3:$N$3,MATCH(O109,H109:N109,0)))</f>
        <v/>
      </c>
      <c r="Q109" s="23">
        <f>IF(Refino!$L$10="","",G109*Refino!$L$10*(1-RetCraft))</f>
        <v/>
      </c>
      <c r="R109" t="n">
        <v>0</v>
      </c>
      <c r="S109" t="inlineStr">
        <is>
          <t>-</t>
        </is>
      </c>
      <c r="T109" s="25">
        <f>G109*Refino!$D$10</f>
        <v/>
      </c>
      <c r="U109" s="25">
        <f>T109*0.1125*FeeCraft/100</f>
        <v/>
      </c>
      <c r="V109" s="23">
        <f>IF(OR(Q109="",R109=""),"",Q109+R109+U109)</f>
        <v/>
      </c>
      <c r="W109" s="23">
        <f>IF(O109="","",O109*(1-TaxaVenda))</f>
        <v/>
      </c>
      <c r="X109" s="26">
        <f>IF(OR(V109="",W109=""),"",W109-V109)</f>
        <v/>
      </c>
      <c r="Y109" s="27">
        <f>IF(X109="","",X109/V109)</f>
        <v/>
      </c>
    </row>
    <row r="110">
      <c r="A110" t="inlineStr">
        <is>
          <t>Cavaleiro (Knight)|Elmo|T5.1</t>
        </is>
      </c>
      <c r="B110" t="inlineStr">
        <is>
          <t>Cavaleiro (Knight)</t>
        </is>
      </c>
      <c r="C110" t="inlineStr">
        <is>
          <t>Elmo</t>
        </is>
      </c>
      <c r="D110" t="inlineStr">
        <is>
          <t>T5.1</t>
        </is>
      </c>
      <c r="E110" t="n">
        <v>5</v>
      </c>
      <c r="F110" t="n">
        <v>1</v>
      </c>
      <c r="G110" t="n">
        <v>8</v>
      </c>
      <c r="H110" s="22" t="n"/>
      <c r="I110" s="22" t="n"/>
      <c r="J110" s="22" t="n"/>
      <c r="K110" s="22" t="n"/>
      <c r="L110" s="22" t="n"/>
      <c r="M110" s="22" t="n"/>
      <c r="N110" s="22" t="n"/>
      <c r="O110" s="23">
        <f>IF(COUNT(H110:N110)=0,"",MAX(H110:N110))</f>
        <v/>
      </c>
      <c r="P110" s="24">
        <f>IF(O110="","",INDEX($H$3:$N$3,MATCH(O110,H110:N110,0)))</f>
        <v/>
      </c>
      <c r="Q110" s="23">
        <f>IF(Refino!$L$11="","",G110*Refino!$L$11*(1-RetCraft))</f>
        <v/>
      </c>
      <c r="R110" t="n">
        <v>0</v>
      </c>
      <c r="S110" t="inlineStr">
        <is>
          <t>-</t>
        </is>
      </c>
      <c r="T110" s="25">
        <f>G110*Refino!$D$11</f>
        <v/>
      </c>
      <c r="U110" s="25">
        <f>T110*0.1125*FeeCraft/100</f>
        <v/>
      </c>
      <c r="V110" s="23">
        <f>IF(OR(Q110="",R110=""),"",Q110+R110+U110)</f>
        <v/>
      </c>
      <c r="W110" s="23">
        <f>IF(O110="","",O110*(1-TaxaVenda))</f>
        <v/>
      </c>
      <c r="X110" s="26">
        <f>IF(OR(V110="",W110=""),"",W110-V110)</f>
        <v/>
      </c>
      <c r="Y110" s="27">
        <f>IF(X110="","",X110/V110)</f>
        <v/>
      </c>
    </row>
    <row r="111">
      <c r="A111" t="inlineStr">
        <is>
          <t>Cavaleiro (Knight)|Elmo|T5.2</t>
        </is>
      </c>
      <c r="B111" t="inlineStr">
        <is>
          <t>Cavaleiro (Knight)</t>
        </is>
      </c>
      <c r="C111" t="inlineStr">
        <is>
          <t>Elmo</t>
        </is>
      </c>
      <c r="D111" t="inlineStr">
        <is>
          <t>T5.2</t>
        </is>
      </c>
      <c r="E111" t="n">
        <v>5</v>
      </c>
      <c r="F111" t="n">
        <v>2</v>
      </c>
      <c r="G111" t="n">
        <v>8</v>
      </c>
      <c r="H111" s="22" t="n"/>
      <c r="I111" s="22" t="n"/>
      <c r="J111" s="22" t="n"/>
      <c r="K111" s="22" t="n"/>
      <c r="L111" s="22" t="n"/>
      <c r="M111" s="22" t="n"/>
      <c r="N111" s="22" t="n"/>
      <c r="O111" s="23">
        <f>IF(COUNT(H111:N111)=0,"",MAX(H111:N111))</f>
        <v/>
      </c>
      <c r="P111" s="24">
        <f>IF(O111="","",INDEX($H$3:$N$3,MATCH(O111,H111:N111,0)))</f>
        <v/>
      </c>
      <c r="Q111" s="23">
        <f>IF(Refino!$L$12="","",G111*Refino!$L$12*(1-RetCraft))</f>
        <v/>
      </c>
      <c r="R111" t="n">
        <v>0</v>
      </c>
      <c r="S111" t="inlineStr">
        <is>
          <t>-</t>
        </is>
      </c>
      <c r="T111" s="25">
        <f>G111*Refino!$D$12</f>
        <v/>
      </c>
      <c r="U111" s="25">
        <f>T111*0.1125*FeeCraft/100</f>
        <v/>
      </c>
      <c r="V111" s="23">
        <f>IF(OR(Q111="",R111=""),"",Q111+R111+U111)</f>
        <v/>
      </c>
      <c r="W111" s="23">
        <f>IF(O111="","",O111*(1-TaxaVenda))</f>
        <v/>
      </c>
      <c r="X111" s="26">
        <f>IF(OR(V111="",W111=""),"",W111-V111)</f>
        <v/>
      </c>
      <c r="Y111" s="27">
        <f>IF(X111="","",X111/V111)</f>
        <v/>
      </c>
    </row>
    <row r="112">
      <c r="A112" t="inlineStr">
        <is>
          <t>Cavaleiro (Knight)|Elmo|T5.3</t>
        </is>
      </c>
      <c r="B112" t="inlineStr">
        <is>
          <t>Cavaleiro (Knight)</t>
        </is>
      </c>
      <c r="C112" t="inlineStr">
        <is>
          <t>Elmo</t>
        </is>
      </c>
      <c r="D112" t="inlineStr">
        <is>
          <t>T5.3</t>
        </is>
      </c>
      <c r="E112" t="n">
        <v>5</v>
      </c>
      <c r="F112" t="n">
        <v>3</v>
      </c>
      <c r="G112" t="n">
        <v>8</v>
      </c>
      <c r="H112" s="22" t="n"/>
      <c r="I112" s="22" t="n"/>
      <c r="J112" s="22" t="n"/>
      <c r="K112" s="22" t="n"/>
      <c r="L112" s="22" t="n"/>
      <c r="M112" s="22" t="n"/>
      <c r="N112" s="22" t="n"/>
      <c r="O112" s="23">
        <f>IF(COUNT(H112:N112)=0,"",MAX(H112:N112))</f>
        <v/>
      </c>
      <c r="P112" s="24">
        <f>IF(O112="","",INDEX($H$3:$N$3,MATCH(O112,H112:N112,0)))</f>
        <v/>
      </c>
      <c r="Q112" s="23">
        <f>IF(Refino!$L$13="","",G112*Refino!$L$13*(1-RetCraft))</f>
        <v/>
      </c>
      <c r="R112" t="n">
        <v>0</v>
      </c>
      <c r="S112" t="inlineStr">
        <is>
          <t>-</t>
        </is>
      </c>
      <c r="T112" s="25">
        <f>G112*Refino!$D$13</f>
        <v/>
      </c>
      <c r="U112" s="25">
        <f>T112*0.1125*FeeCraft/100</f>
        <v/>
      </c>
      <c r="V112" s="23">
        <f>IF(OR(Q112="",R112=""),"",Q112+R112+U112)</f>
        <v/>
      </c>
      <c r="W112" s="23">
        <f>IF(O112="","",O112*(1-TaxaVenda))</f>
        <v/>
      </c>
      <c r="X112" s="26">
        <f>IF(OR(V112="",W112=""),"",W112-V112)</f>
        <v/>
      </c>
      <c r="Y112" s="27">
        <f>IF(X112="","",X112/V112)</f>
        <v/>
      </c>
    </row>
    <row r="113">
      <c r="A113" t="inlineStr">
        <is>
          <t>Cavaleiro (Knight)|Elmo|T5.4</t>
        </is>
      </c>
      <c r="B113" t="inlineStr">
        <is>
          <t>Cavaleiro (Knight)</t>
        </is>
      </c>
      <c r="C113" t="inlineStr">
        <is>
          <t>Elmo</t>
        </is>
      </c>
      <c r="D113" t="inlineStr">
        <is>
          <t>T5.4</t>
        </is>
      </c>
      <c r="E113" t="n">
        <v>5</v>
      </c>
      <c r="F113" t="n">
        <v>4</v>
      </c>
      <c r="G113" t="n">
        <v>8</v>
      </c>
      <c r="H113" s="22" t="n"/>
      <c r="I113" s="22" t="n"/>
      <c r="J113" s="22" t="n"/>
      <c r="K113" s="22" t="n"/>
      <c r="L113" s="22" t="n"/>
      <c r="M113" s="22" t="n"/>
      <c r="N113" s="22" t="n"/>
      <c r="O113" s="23">
        <f>IF(COUNT(H113:N113)=0,"",MAX(H113:N113))</f>
        <v/>
      </c>
      <c r="P113" s="24">
        <f>IF(O113="","",INDEX($H$3:$N$3,MATCH(O113,H113:N113,0)))</f>
        <v/>
      </c>
      <c r="Q113" s="23">
        <f>IF(Refino!$L$14="","",G113*Refino!$L$14*(1-RetCraft))</f>
        <v/>
      </c>
      <c r="R113" t="n">
        <v>0</v>
      </c>
      <c r="S113" t="inlineStr">
        <is>
          <t>-</t>
        </is>
      </c>
      <c r="T113" s="25">
        <f>G113*Refino!$D$14</f>
        <v/>
      </c>
      <c r="U113" s="25">
        <f>T113*0.1125*FeeCraft/100</f>
        <v/>
      </c>
      <c r="V113" s="23">
        <f>IF(OR(Q113="",R113=""),"",Q113+R113+U113)</f>
        <v/>
      </c>
      <c r="W113" s="23">
        <f>IF(O113="","",O113*(1-TaxaVenda))</f>
        <v/>
      </c>
      <c r="X113" s="26">
        <f>IF(OR(V113="",W113=""),"",W113-V113)</f>
        <v/>
      </c>
      <c r="Y113" s="27">
        <f>IF(X113="","",X113/V113)</f>
        <v/>
      </c>
    </row>
    <row r="114">
      <c r="A114" t="inlineStr">
        <is>
          <t>Cavaleiro (Knight)|Elmo|T6.0</t>
        </is>
      </c>
      <c r="B114" t="inlineStr">
        <is>
          <t>Cavaleiro (Knight)</t>
        </is>
      </c>
      <c r="C114" t="inlineStr">
        <is>
          <t>Elmo</t>
        </is>
      </c>
      <c r="D114" t="inlineStr">
        <is>
          <t>T6.0</t>
        </is>
      </c>
      <c r="E114" t="n">
        <v>6</v>
      </c>
      <c r="F114" t="n">
        <v>0</v>
      </c>
      <c r="G114" t="n">
        <v>8</v>
      </c>
      <c r="H114" s="22" t="n"/>
      <c r="I114" s="22" t="n"/>
      <c r="J114" s="22" t="n"/>
      <c r="K114" s="22" t="n"/>
      <c r="L114" s="22" t="n"/>
      <c r="M114" s="22" t="n"/>
      <c r="N114" s="22" t="n"/>
      <c r="O114" s="23">
        <f>IF(COUNT(H114:N114)=0,"",MAX(H114:N114))</f>
        <v/>
      </c>
      <c r="P114" s="24">
        <f>IF(O114="","",INDEX($H$3:$N$3,MATCH(O114,H114:N114,0)))</f>
        <v/>
      </c>
      <c r="Q114" s="23">
        <f>IF(Refino!$L$15="","",G114*Refino!$L$15*(1-RetCraft))</f>
        <v/>
      </c>
      <c r="R114" t="n">
        <v>0</v>
      </c>
      <c r="S114" t="inlineStr">
        <is>
          <t>-</t>
        </is>
      </c>
      <c r="T114" s="25">
        <f>G114*Refino!$D$15</f>
        <v/>
      </c>
      <c r="U114" s="25">
        <f>T114*0.1125*FeeCraft/100</f>
        <v/>
      </c>
      <c r="V114" s="23">
        <f>IF(OR(Q114="",R114=""),"",Q114+R114+U114)</f>
        <v/>
      </c>
      <c r="W114" s="23">
        <f>IF(O114="","",O114*(1-TaxaVenda))</f>
        <v/>
      </c>
      <c r="X114" s="26">
        <f>IF(OR(V114="",W114=""),"",W114-V114)</f>
        <v/>
      </c>
      <c r="Y114" s="27">
        <f>IF(X114="","",X114/V114)</f>
        <v/>
      </c>
    </row>
    <row r="115">
      <c r="A115" t="inlineStr">
        <is>
          <t>Cavaleiro (Knight)|Elmo|T6.1</t>
        </is>
      </c>
      <c r="B115" t="inlineStr">
        <is>
          <t>Cavaleiro (Knight)</t>
        </is>
      </c>
      <c r="C115" t="inlineStr">
        <is>
          <t>Elmo</t>
        </is>
      </c>
      <c r="D115" t="inlineStr">
        <is>
          <t>T6.1</t>
        </is>
      </c>
      <c r="E115" t="n">
        <v>6</v>
      </c>
      <c r="F115" t="n">
        <v>1</v>
      </c>
      <c r="G115" t="n">
        <v>8</v>
      </c>
      <c r="H115" s="22" t="n"/>
      <c r="I115" s="22" t="n"/>
      <c r="J115" s="22" t="n"/>
      <c r="K115" s="22" t="n"/>
      <c r="L115" s="22" t="n"/>
      <c r="M115" s="22" t="n"/>
      <c r="N115" s="22" t="n"/>
      <c r="O115" s="23">
        <f>IF(COUNT(H115:N115)=0,"",MAX(H115:N115))</f>
        <v/>
      </c>
      <c r="P115" s="24">
        <f>IF(O115="","",INDEX($H$3:$N$3,MATCH(O115,H115:N115,0)))</f>
        <v/>
      </c>
      <c r="Q115" s="23">
        <f>IF(Refino!$L$16="","",G115*Refino!$L$16*(1-RetCraft))</f>
        <v/>
      </c>
      <c r="R115" t="n">
        <v>0</v>
      </c>
      <c r="S115" t="inlineStr">
        <is>
          <t>-</t>
        </is>
      </c>
      <c r="T115" s="25">
        <f>G115*Refino!$D$16</f>
        <v/>
      </c>
      <c r="U115" s="25">
        <f>T115*0.1125*FeeCraft/100</f>
        <v/>
      </c>
      <c r="V115" s="23">
        <f>IF(OR(Q115="",R115=""),"",Q115+R115+U115)</f>
        <v/>
      </c>
      <c r="W115" s="23">
        <f>IF(O115="","",O115*(1-TaxaVenda))</f>
        <v/>
      </c>
      <c r="X115" s="26">
        <f>IF(OR(V115="",W115=""),"",W115-V115)</f>
        <v/>
      </c>
      <c r="Y115" s="27">
        <f>IF(X115="","",X115/V115)</f>
        <v/>
      </c>
    </row>
    <row r="116">
      <c r="A116" t="inlineStr">
        <is>
          <t>Cavaleiro (Knight)|Elmo|T6.2</t>
        </is>
      </c>
      <c r="B116" t="inlineStr">
        <is>
          <t>Cavaleiro (Knight)</t>
        </is>
      </c>
      <c r="C116" t="inlineStr">
        <is>
          <t>Elmo</t>
        </is>
      </c>
      <c r="D116" t="inlineStr">
        <is>
          <t>T6.2</t>
        </is>
      </c>
      <c r="E116" t="n">
        <v>6</v>
      </c>
      <c r="F116" t="n">
        <v>2</v>
      </c>
      <c r="G116" t="n">
        <v>8</v>
      </c>
      <c r="H116" s="22" t="n"/>
      <c r="I116" s="22" t="n"/>
      <c r="J116" s="22" t="n"/>
      <c r="K116" s="22" t="n"/>
      <c r="L116" s="22" t="n"/>
      <c r="M116" s="22" t="n"/>
      <c r="N116" s="22" t="n"/>
      <c r="O116" s="23">
        <f>IF(COUNT(H116:N116)=0,"",MAX(H116:N116))</f>
        <v/>
      </c>
      <c r="P116" s="24">
        <f>IF(O116="","",INDEX($H$3:$N$3,MATCH(O116,H116:N116,0)))</f>
        <v/>
      </c>
      <c r="Q116" s="23">
        <f>IF(Refino!$L$17="","",G116*Refino!$L$17*(1-RetCraft))</f>
        <v/>
      </c>
      <c r="R116" t="n">
        <v>0</v>
      </c>
      <c r="S116" t="inlineStr">
        <is>
          <t>-</t>
        </is>
      </c>
      <c r="T116" s="25">
        <f>G116*Refino!$D$17</f>
        <v/>
      </c>
      <c r="U116" s="25">
        <f>T116*0.1125*FeeCraft/100</f>
        <v/>
      </c>
      <c r="V116" s="23">
        <f>IF(OR(Q116="",R116=""),"",Q116+R116+U116)</f>
        <v/>
      </c>
      <c r="W116" s="23">
        <f>IF(O116="","",O116*(1-TaxaVenda))</f>
        <v/>
      </c>
      <c r="X116" s="26">
        <f>IF(OR(V116="",W116=""),"",W116-V116)</f>
        <v/>
      </c>
      <c r="Y116" s="27">
        <f>IF(X116="","",X116/V116)</f>
        <v/>
      </c>
    </row>
    <row r="117">
      <c r="A117" t="inlineStr">
        <is>
          <t>Cavaleiro (Knight)|Elmo|T6.3</t>
        </is>
      </c>
      <c r="B117" t="inlineStr">
        <is>
          <t>Cavaleiro (Knight)</t>
        </is>
      </c>
      <c r="C117" t="inlineStr">
        <is>
          <t>Elmo</t>
        </is>
      </c>
      <c r="D117" t="inlineStr">
        <is>
          <t>T6.3</t>
        </is>
      </c>
      <c r="E117" t="n">
        <v>6</v>
      </c>
      <c r="F117" t="n">
        <v>3</v>
      </c>
      <c r="G117" t="n">
        <v>8</v>
      </c>
      <c r="H117" s="22" t="n"/>
      <c r="I117" s="22" t="n"/>
      <c r="J117" s="22" t="n"/>
      <c r="K117" s="22" t="n"/>
      <c r="L117" s="22" t="n"/>
      <c r="M117" s="22" t="n"/>
      <c r="N117" s="22" t="n"/>
      <c r="O117" s="23">
        <f>IF(COUNT(H117:N117)=0,"",MAX(H117:N117))</f>
        <v/>
      </c>
      <c r="P117" s="24">
        <f>IF(O117="","",INDEX($H$3:$N$3,MATCH(O117,H117:N117,0)))</f>
        <v/>
      </c>
      <c r="Q117" s="23">
        <f>IF(Refino!$L$18="","",G117*Refino!$L$18*(1-RetCraft))</f>
        <v/>
      </c>
      <c r="R117" t="n">
        <v>0</v>
      </c>
      <c r="S117" t="inlineStr">
        <is>
          <t>-</t>
        </is>
      </c>
      <c r="T117" s="25">
        <f>G117*Refino!$D$18</f>
        <v/>
      </c>
      <c r="U117" s="25">
        <f>T117*0.1125*FeeCraft/100</f>
        <v/>
      </c>
      <c r="V117" s="23">
        <f>IF(OR(Q117="",R117=""),"",Q117+R117+U117)</f>
        <v/>
      </c>
      <c r="W117" s="23">
        <f>IF(O117="","",O117*(1-TaxaVenda))</f>
        <v/>
      </c>
      <c r="X117" s="26">
        <f>IF(OR(V117="",W117=""),"",W117-V117)</f>
        <v/>
      </c>
      <c r="Y117" s="27">
        <f>IF(X117="","",X117/V117)</f>
        <v/>
      </c>
    </row>
    <row r="118">
      <c r="A118" t="inlineStr">
        <is>
          <t>Cavaleiro (Knight)|Elmo|T6.4</t>
        </is>
      </c>
      <c r="B118" t="inlineStr">
        <is>
          <t>Cavaleiro (Knight)</t>
        </is>
      </c>
      <c r="C118" t="inlineStr">
        <is>
          <t>Elmo</t>
        </is>
      </c>
      <c r="D118" t="inlineStr">
        <is>
          <t>T6.4</t>
        </is>
      </c>
      <c r="E118" t="n">
        <v>6</v>
      </c>
      <c r="F118" t="n">
        <v>4</v>
      </c>
      <c r="G118" t="n">
        <v>8</v>
      </c>
      <c r="H118" s="22" t="n"/>
      <c r="I118" s="22" t="n"/>
      <c r="J118" s="22" t="n"/>
      <c r="K118" s="22" t="n"/>
      <c r="L118" s="22" t="n"/>
      <c r="M118" s="22" t="n"/>
      <c r="N118" s="22" t="n"/>
      <c r="O118" s="23">
        <f>IF(COUNT(H118:N118)=0,"",MAX(H118:N118))</f>
        <v/>
      </c>
      <c r="P118" s="24">
        <f>IF(O118="","",INDEX($H$3:$N$3,MATCH(O118,H118:N118,0)))</f>
        <v/>
      </c>
      <c r="Q118" s="23">
        <f>IF(Refino!$L$19="","",G118*Refino!$L$19*(1-RetCraft))</f>
        <v/>
      </c>
      <c r="R118" t="n">
        <v>0</v>
      </c>
      <c r="S118" t="inlineStr">
        <is>
          <t>-</t>
        </is>
      </c>
      <c r="T118" s="25">
        <f>G118*Refino!$D$19</f>
        <v/>
      </c>
      <c r="U118" s="25">
        <f>T118*0.1125*FeeCraft/100</f>
        <v/>
      </c>
      <c r="V118" s="23">
        <f>IF(OR(Q118="",R118=""),"",Q118+R118+U118)</f>
        <v/>
      </c>
      <c r="W118" s="23">
        <f>IF(O118="","",O118*(1-TaxaVenda))</f>
        <v/>
      </c>
      <c r="X118" s="26">
        <f>IF(OR(V118="",W118=""),"",W118-V118)</f>
        <v/>
      </c>
      <c r="Y118" s="27">
        <f>IF(X118="","",X118/V118)</f>
        <v/>
      </c>
    </row>
    <row r="119">
      <c r="A119" t="inlineStr">
        <is>
          <t>Cavaleiro (Knight)|Elmo|T7.0</t>
        </is>
      </c>
      <c r="B119" t="inlineStr">
        <is>
          <t>Cavaleiro (Knight)</t>
        </is>
      </c>
      <c r="C119" t="inlineStr">
        <is>
          <t>Elmo</t>
        </is>
      </c>
      <c r="D119" t="inlineStr">
        <is>
          <t>T7.0</t>
        </is>
      </c>
      <c r="E119" t="n">
        <v>7</v>
      </c>
      <c r="F119" t="n">
        <v>0</v>
      </c>
      <c r="G119" t="n">
        <v>8</v>
      </c>
      <c r="H119" s="22" t="n"/>
      <c r="I119" s="22" t="n"/>
      <c r="J119" s="22" t="n"/>
      <c r="K119" s="22" t="n"/>
      <c r="L119" s="22" t="n"/>
      <c r="M119" s="22" t="n"/>
      <c r="N119" s="22" t="n"/>
      <c r="O119" s="23">
        <f>IF(COUNT(H119:N119)=0,"",MAX(H119:N119))</f>
        <v/>
      </c>
      <c r="P119" s="24">
        <f>IF(O119="","",INDEX($H$3:$N$3,MATCH(O119,H119:N119,0)))</f>
        <v/>
      </c>
      <c r="Q119" s="23">
        <f>IF(Refino!$L$20="","",G119*Refino!$L$20*(1-RetCraft))</f>
        <v/>
      </c>
      <c r="R119" t="n">
        <v>0</v>
      </c>
      <c r="S119" t="inlineStr">
        <is>
          <t>-</t>
        </is>
      </c>
      <c r="T119" s="25">
        <f>G119*Refino!$D$20</f>
        <v/>
      </c>
      <c r="U119" s="25">
        <f>T119*0.1125*FeeCraft/100</f>
        <v/>
      </c>
      <c r="V119" s="23">
        <f>IF(OR(Q119="",R119=""),"",Q119+R119+U119)</f>
        <v/>
      </c>
      <c r="W119" s="23">
        <f>IF(O119="","",O119*(1-TaxaVenda))</f>
        <v/>
      </c>
      <c r="X119" s="26">
        <f>IF(OR(V119="",W119=""),"",W119-V119)</f>
        <v/>
      </c>
      <c r="Y119" s="27">
        <f>IF(X119="","",X119/V119)</f>
        <v/>
      </c>
    </row>
    <row r="120">
      <c r="A120" t="inlineStr">
        <is>
          <t>Cavaleiro (Knight)|Elmo|T7.1</t>
        </is>
      </c>
      <c r="B120" t="inlineStr">
        <is>
          <t>Cavaleiro (Knight)</t>
        </is>
      </c>
      <c r="C120" t="inlineStr">
        <is>
          <t>Elmo</t>
        </is>
      </c>
      <c r="D120" t="inlineStr">
        <is>
          <t>T7.1</t>
        </is>
      </c>
      <c r="E120" t="n">
        <v>7</v>
      </c>
      <c r="F120" t="n">
        <v>1</v>
      </c>
      <c r="G120" t="n">
        <v>8</v>
      </c>
      <c r="H120" s="22" t="n"/>
      <c r="I120" s="22" t="n"/>
      <c r="J120" s="22" t="n"/>
      <c r="K120" s="22" t="n"/>
      <c r="L120" s="22" t="n"/>
      <c r="M120" s="22" t="n"/>
      <c r="N120" s="22" t="n"/>
      <c r="O120" s="23">
        <f>IF(COUNT(H120:N120)=0,"",MAX(H120:N120))</f>
        <v/>
      </c>
      <c r="P120" s="24">
        <f>IF(O120="","",INDEX($H$3:$N$3,MATCH(O120,H120:N120,0)))</f>
        <v/>
      </c>
      <c r="Q120" s="23">
        <f>IF(Refino!$L$21="","",G120*Refino!$L$21*(1-RetCraft))</f>
        <v/>
      </c>
      <c r="R120" t="n">
        <v>0</v>
      </c>
      <c r="S120" t="inlineStr">
        <is>
          <t>-</t>
        </is>
      </c>
      <c r="T120" s="25">
        <f>G120*Refino!$D$21</f>
        <v/>
      </c>
      <c r="U120" s="25">
        <f>T120*0.1125*FeeCraft/100</f>
        <v/>
      </c>
      <c r="V120" s="23">
        <f>IF(OR(Q120="",R120=""),"",Q120+R120+U120)</f>
        <v/>
      </c>
      <c r="W120" s="23">
        <f>IF(O120="","",O120*(1-TaxaVenda))</f>
        <v/>
      </c>
      <c r="X120" s="26">
        <f>IF(OR(V120="",W120=""),"",W120-V120)</f>
        <v/>
      </c>
      <c r="Y120" s="27">
        <f>IF(X120="","",X120/V120)</f>
        <v/>
      </c>
    </row>
    <row r="121">
      <c r="A121" t="inlineStr">
        <is>
          <t>Cavaleiro (Knight)|Elmo|T7.2</t>
        </is>
      </c>
      <c r="B121" t="inlineStr">
        <is>
          <t>Cavaleiro (Knight)</t>
        </is>
      </c>
      <c r="C121" t="inlineStr">
        <is>
          <t>Elmo</t>
        </is>
      </c>
      <c r="D121" t="inlineStr">
        <is>
          <t>T7.2</t>
        </is>
      </c>
      <c r="E121" t="n">
        <v>7</v>
      </c>
      <c r="F121" t="n">
        <v>2</v>
      </c>
      <c r="G121" t="n">
        <v>8</v>
      </c>
      <c r="H121" s="22" t="n"/>
      <c r="I121" s="22" t="n"/>
      <c r="J121" s="22" t="n"/>
      <c r="K121" s="22" t="n"/>
      <c r="L121" s="22" t="n"/>
      <c r="M121" s="22" t="n"/>
      <c r="N121" s="22" t="n"/>
      <c r="O121" s="23">
        <f>IF(COUNT(H121:N121)=0,"",MAX(H121:N121))</f>
        <v/>
      </c>
      <c r="P121" s="24">
        <f>IF(O121="","",INDEX($H$3:$N$3,MATCH(O121,H121:N121,0)))</f>
        <v/>
      </c>
      <c r="Q121" s="23">
        <f>IF(Refino!$L$22="","",G121*Refino!$L$22*(1-RetCraft))</f>
        <v/>
      </c>
      <c r="R121" t="n">
        <v>0</v>
      </c>
      <c r="S121" t="inlineStr">
        <is>
          <t>-</t>
        </is>
      </c>
      <c r="T121" s="25">
        <f>G121*Refino!$D$22</f>
        <v/>
      </c>
      <c r="U121" s="25">
        <f>T121*0.1125*FeeCraft/100</f>
        <v/>
      </c>
      <c r="V121" s="23">
        <f>IF(OR(Q121="",R121=""),"",Q121+R121+U121)</f>
        <v/>
      </c>
      <c r="W121" s="23">
        <f>IF(O121="","",O121*(1-TaxaVenda))</f>
        <v/>
      </c>
      <c r="X121" s="26">
        <f>IF(OR(V121="",W121=""),"",W121-V121)</f>
        <v/>
      </c>
      <c r="Y121" s="27">
        <f>IF(X121="","",X121/V121)</f>
        <v/>
      </c>
    </row>
    <row r="122">
      <c r="A122" t="inlineStr">
        <is>
          <t>Cavaleiro (Knight)|Elmo|T7.3</t>
        </is>
      </c>
      <c r="B122" t="inlineStr">
        <is>
          <t>Cavaleiro (Knight)</t>
        </is>
      </c>
      <c r="C122" t="inlineStr">
        <is>
          <t>Elmo</t>
        </is>
      </c>
      <c r="D122" t="inlineStr">
        <is>
          <t>T7.3</t>
        </is>
      </c>
      <c r="E122" t="n">
        <v>7</v>
      </c>
      <c r="F122" t="n">
        <v>3</v>
      </c>
      <c r="G122" t="n">
        <v>8</v>
      </c>
      <c r="H122" s="22" t="n"/>
      <c r="I122" s="22" t="n"/>
      <c r="J122" s="22" t="n"/>
      <c r="K122" s="22" t="n"/>
      <c r="L122" s="22" t="n"/>
      <c r="M122" s="22" t="n"/>
      <c r="N122" s="22" t="n"/>
      <c r="O122" s="23">
        <f>IF(COUNT(H122:N122)=0,"",MAX(H122:N122))</f>
        <v/>
      </c>
      <c r="P122" s="24">
        <f>IF(O122="","",INDEX($H$3:$N$3,MATCH(O122,H122:N122,0)))</f>
        <v/>
      </c>
      <c r="Q122" s="23">
        <f>IF(Refino!$L$23="","",G122*Refino!$L$23*(1-RetCraft))</f>
        <v/>
      </c>
      <c r="R122" t="n">
        <v>0</v>
      </c>
      <c r="S122" t="inlineStr">
        <is>
          <t>-</t>
        </is>
      </c>
      <c r="T122" s="25">
        <f>G122*Refino!$D$23</f>
        <v/>
      </c>
      <c r="U122" s="25">
        <f>T122*0.1125*FeeCraft/100</f>
        <v/>
      </c>
      <c r="V122" s="23">
        <f>IF(OR(Q122="",R122=""),"",Q122+R122+U122)</f>
        <v/>
      </c>
      <c r="W122" s="23">
        <f>IF(O122="","",O122*(1-TaxaVenda))</f>
        <v/>
      </c>
      <c r="X122" s="26">
        <f>IF(OR(V122="",W122=""),"",W122-V122)</f>
        <v/>
      </c>
      <c r="Y122" s="27">
        <f>IF(X122="","",X122/V122)</f>
        <v/>
      </c>
    </row>
    <row r="123">
      <c r="A123" t="inlineStr">
        <is>
          <t>Cavaleiro (Knight)|Elmo|T7.4</t>
        </is>
      </c>
      <c r="B123" t="inlineStr">
        <is>
          <t>Cavaleiro (Knight)</t>
        </is>
      </c>
      <c r="C123" t="inlineStr">
        <is>
          <t>Elmo</t>
        </is>
      </c>
      <c r="D123" t="inlineStr">
        <is>
          <t>T7.4</t>
        </is>
      </c>
      <c r="E123" t="n">
        <v>7</v>
      </c>
      <c r="F123" t="n">
        <v>4</v>
      </c>
      <c r="G123" t="n">
        <v>8</v>
      </c>
      <c r="H123" s="22" t="n"/>
      <c r="I123" s="22" t="n"/>
      <c r="J123" s="22" t="n"/>
      <c r="K123" s="22" t="n"/>
      <c r="L123" s="22" t="n"/>
      <c r="M123" s="22" t="n"/>
      <c r="N123" s="22" t="n"/>
      <c r="O123" s="23">
        <f>IF(COUNT(H123:N123)=0,"",MAX(H123:N123))</f>
        <v/>
      </c>
      <c r="P123" s="24">
        <f>IF(O123="","",INDEX($H$3:$N$3,MATCH(O123,H123:N123,0)))</f>
        <v/>
      </c>
      <c r="Q123" s="23">
        <f>IF(Refino!$L$24="","",G123*Refino!$L$24*(1-RetCraft))</f>
        <v/>
      </c>
      <c r="R123" t="n">
        <v>0</v>
      </c>
      <c r="S123" t="inlineStr">
        <is>
          <t>-</t>
        </is>
      </c>
      <c r="T123" s="25">
        <f>G123*Refino!$D$24</f>
        <v/>
      </c>
      <c r="U123" s="25">
        <f>T123*0.1125*FeeCraft/100</f>
        <v/>
      </c>
      <c r="V123" s="23">
        <f>IF(OR(Q123="",R123=""),"",Q123+R123+U123)</f>
        <v/>
      </c>
      <c r="W123" s="23">
        <f>IF(O123="","",O123*(1-TaxaVenda))</f>
        <v/>
      </c>
      <c r="X123" s="26">
        <f>IF(OR(V123="",W123=""),"",W123-V123)</f>
        <v/>
      </c>
      <c r="Y123" s="27">
        <f>IF(X123="","",X123/V123)</f>
        <v/>
      </c>
    </row>
    <row r="124">
      <c r="A124" t="inlineStr">
        <is>
          <t>Cavaleiro (Knight)|Elmo|T8.0</t>
        </is>
      </c>
      <c r="B124" t="inlineStr">
        <is>
          <t>Cavaleiro (Knight)</t>
        </is>
      </c>
      <c r="C124" t="inlineStr">
        <is>
          <t>Elmo</t>
        </is>
      </c>
      <c r="D124" t="inlineStr">
        <is>
          <t>T8.0</t>
        </is>
      </c>
      <c r="E124" t="n">
        <v>8</v>
      </c>
      <c r="F124" t="n">
        <v>0</v>
      </c>
      <c r="G124" t="n">
        <v>8</v>
      </c>
      <c r="H124" s="22" t="n"/>
      <c r="I124" s="22" t="n"/>
      <c r="J124" s="22" t="n"/>
      <c r="K124" s="22" t="n"/>
      <c r="L124" s="22" t="n"/>
      <c r="M124" s="22" t="n"/>
      <c r="N124" s="22" t="n"/>
      <c r="O124" s="23">
        <f>IF(COUNT(H124:N124)=0,"",MAX(H124:N124))</f>
        <v/>
      </c>
      <c r="P124" s="24">
        <f>IF(O124="","",INDEX($H$3:$N$3,MATCH(O124,H124:N124,0)))</f>
        <v/>
      </c>
      <c r="Q124" s="23">
        <f>IF(Refino!$L$25="","",G124*Refino!$L$25*(1-RetCraft))</f>
        <v/>
      </c>
      <c r="R124" t="n">
        <v>0</v>
      </c>
      <c r="S124" t="inlineStr">
        <is>
          <t>-</t>
        </is>
      </c>
      <c r="T124" s="25">
        <f>G124*Refino!$D$25</f>
        <v/>
      </c>
      <c r="U124" s="25">
        <f>T124*0.1125*FeeCraft/100</f>
        <v/>
      </c>
      <c r="V124" s="23">
        <f>IF(OR(Q124="",R124=""),"",Q124+R124+U124)</f>
        <v/>
      </c>
      <c r="W124" s="23">
        <f>IF(O124="","",O124*(1-TaxaVenda))</f>
        <v/>
      </c>
      <c r="X124" s="26">
        <f>IF(OR(V124="",W124=""),"",W124-V124)</f>
        <v/>
      </c>
      <c r="Y124" s="27">
        <f>IF(X124="","",X124/V124)</f>
        <v/>
      </c>
    </row>
    <row r="125">
      <c r="A125" t="inlineStr">
        <is>
          <t>Cavaleiro (Knight)|Elmo|T8.1</t>
        </is>
      </c>
      <c r="B125" t="inlineStr">
        <is>
          <t>Cavaleiro (Knight)</t>
        </is>
      </c>
      <c r="C125" t="inlineStr">
        <is>
          <t>Elmo</t>
        </is>
      </c>
      <c r="D125" t="inlineStr">
        <is>
          <t>T8.1</t>
        </is>
      </c>
      <c r="E125" t="n">
        <v>8</v>
      </c>
      <c r="F125" t="n">
        <v>1</v>
      </c>
      <c r="G125" t="n">
        <v>8</v>
      </c>
      <c r="H125" s="22" t="n"/>
      <c r="I125" s="22" t="n"/>
      <c r="J125" s="22" t="n"/>
      <c r="K125" s="22" t="n"/>
      <c r="L125" s="22" t="n"/>
      <c r="M125" s="22" t="n"/>
      <c r="N125" s="22" t="n"/>
      <c r="O125" s="23">
        <f>IF(COUNT(H125:N125)=0,"",MAX(H125:N125))</f>
        <v/>
      </c>
      <c r="P125" s="24">
        <f>IF(O125="","",INDEX($H$3:$N$3,MATCH(O125,H125:N125,0)))</f>
        <v/>
      </c>
      <c r="Q125" s="23">
        <f>IF(Refino!$L$26="","",G125*Refino!$L$26*(1-RetCraft))</f>
        <v/>
      </c>
      <c r="R125" t="n">
        <v>0</v>
      </c>
      <c r="S125" t="inlineStr">
        <is>
          <t>-</t>
        </is>
      </c>
      <c r="T125" s="25">
        <f>G125*Refino!$D$26</f>
        <v/>
      </c>
      <c r="U125" s="25">
        <f>T125*0.1125*FeeCraft/100</f>
        <v/>
      </c>
      <c r="V125" s="23">
        <f>IF(OR(Q125="",R125=""),"",Q125+R125+U125)</f>
        <v/>
      </c>
      <c r="W125" s="23">
        <f>IF(O125="","",O125*(1-TaxaVenda))</f>
        <v/>
      </c>
      <c r="X125" s="26">
        <f>IF(OR(V125="",W125=""),"",W125-V125)</f>
        <v/>
      </c>
      <c r="Y125" s="27">
        <f>IF(X125="","",X125/V125)</f>
        <v/>
      </c>
    </row>
    <row r="126">
      <c r="A126" t="inlineStr">
        <is>
          <t>Cavaleiro (Knight)|Elmo|T8.2</t>
        </is>
      </c>
      <c r="B126" t="inlineStr">
        <is>
          <t>Cavaleiro (Knight)</t>
        </is>
      </c>
      <c r="C126" t="inlineStr">
        <is>
          <t>Elmo</t>
        </is>
      </c>
      <c r="D126" t="inlineStr">
        <is>
          <t>T8.2</t>
        </is>
      </c>
      <c r="E126" t="n">
        <v>8</v>
      </c>
      <c r="F126" t="n">
        <v>2</v>
      </c>
      <c r="G126" t="n">
        <v>8</v>
      </c>
      <c r="H126" s="22" t="n"/>
      <c r="I126" s="22" t="n"/>
      <c r="J126" s="22" t="n"/>
      <c r="K126" s="22" t="n"/>
      <c r="L126" s="22" t="n"/>
      <c r="M126" s="22" t="n"/>
      <c r="N126" s="22" t="n"/>
      <c r="O126" s="23">
        <f>IF(COUNT(H126:N126)=0,"",MAX(H126:N126))</f>
        <v/>
      </c>
      <c r="P126" s="24">
        <f>IF(O126="","",INDEX($H$3:$N$3,MATCH(O126,H126:N126,0)))</f>
        <v/>
      </c>
      <c r="Q126" s="23">
        <f>IF(Refino!$L$27="","",G126*Refino!$L$27*(1-RetCraft))</f>
        <v/>
      </c>
      <c r="R126" t="n">
        <v>0</v>
      </c>
      <c r="S126" t="inlineStr">
        <is>
          <t>-</t>
        </is>
      </c>
      <c r="T126" s="25">
        <f>G126*Refino!$D$27</f>
        <v/>
      </c>
      <c r="U126" s="25">
        <f>T126*0.1125*FeeCraft/100</f>
        <v/>
      </c>
      <c r="V126" s="23">
        <f>IF(OR(Q126="",R126=""),"",Q126+R126+U126)</f>
        <v/>
      </c>
      <c r="W126" s="23">
        <f>IF(O126="","",O126*(1-TaxaVenda))</f>
        <v/>
      </c>
      <c r="X126" s="26">
        <f>IF(OR(V126="",W126=""),"",W126-V126)</f>
        <v/>
      </c>
      <c r="Y126" s="27">
        <f>IF(X126="","",X126/V126)</f>
        <v/>
      </c>
    </row>
    <row r="127">
      <c r="A127" t="inlineStr">
        <is>
          <t>Cavaleiro (Knight)|Elmo|T8.3</t>
        </is>
      </c>
      <c r="B127" t="inlineStr">
        <is>
          <t>Cavaleiro (Knight)</t>
        </is>
      </c>
      <c r="C127" t="inlineStr">
        <is>
          <t>Elmo</t>
        </is>
      </c>
      <c r="D127" t="inlineStr">
        <is>
          <t>T8.3</t>
        </is>
      </c>
      <c r="E127" t="n">
        <v>8</v>
      </c>
      <c r="F127" t="n">
        <v>3</v>
      </c>
      <c r="G127" t="n">
        <v>8</v>
      </c>
      <c r="H127" s="22" t="n"/>
      <c r="I127" s="22" t="n"/>
      <c r="J127" s="22" t="n"/>
      <c r="K127" s="22" t="n"/>
      <c r="L127" s="22" t="n"/>
      <c r="M127" s="22" t="n"/>
      <c r="N127" s="22" t="n"/>
      <c r="O127" s="23">
        <f>IF(COUNT(H127:N127)=0,"",MAX(H127:N127))</f>
        <v/>
      </c>
      <c r="P127" s="24">
        <f>IF(O127="","",INDEX($H$3:$N$3,MATCH(O127,H127:N127,0)))</f>
        <v/>
      </c>
      <c r="Q127" s="23">
        <f>IF(Refino!$L$28="","",G127*Refino!$L$28*(1-RetCraft))</f>
        <v/>
      </c>
      <c r="R127" t="n">
        <v>0</v>
      </c>
      <c r="S127" t="inlineStr">
        <is>
          <t>-</t>
        </is>
      </c>
      <c r="T127" s="25">
        <f>G127*Refino!$D$28</f>
        <v/>
      </c>
      <c r="U127" s="25">
        <f>T127*0.1125*FeeCraft/100</f>
        <v/>
      </c>
      <c r="V127" s="23">
        <f>IF(OR(Q127="",R127=""),"",Q127+R127+U127)</f>
        <v/>
      </c>
      <c r="W127" s="23">
        <f>IF(O127="","",O127*(1-TaxaVenda))</f>
        <v/>
      </c>
      <c r="X127" s="26">
        <f>IF(OR(V127="",W127=""),"",W127-V127)</f>
        <v/>
      </c>
      <c r="Y127" s="27">
        <f>IF(X127="","",X127/V127)</f>
        <v/>
      </c>
    </row>
    <row r="128">
      <c r="A128" t="inlineStr">
        <is>
          <t>Cavaleiro (Knight)|Elmo|T8.4</t>
        </is>
      </c>
      <c r="B128" t="inlineStr">
        <is>
          <t>Cavaleiro (Knight)</t>
        </is>
      </c>
      <c r="C128" t="inlineStr">
        <is>
          <t>Elmo</t>
        </is>
      </c>
      <c r="D128" t="inlineStr">
        <is>
          <t>T8.4</t>
        </is>
      </c>
      <c r="E128" t="n">
        <v>8</v>
      </c>
      <c r="F128" t="n">
        <v>4</v>
      </c>
      <c r="G128" t="n">
        <v>8</v>
      </c>
      <c r="H128" s="22" t="n"/>
      <c r="I128" s="22" t="n"/>
      <c r="J128" s="22" t="n"/>
      <c r="K128" s="22" t="n"/>
      <c r="L128" s="22" t="n"/>
      <c r="M128" s="22" t="n"/>
      <c r="N128" s="22" t="n"/>
      <c r="O128" s="23">
        <f>IF(COUNT(H128:N128)=0,"",MAX(H128:N128))</f>
        <v/>
      </c>
      <c r="P128" s="24">
        <f>IF(O128="","",INDEX($H$3:$N$3,MATCH(O128,H128:N128,0)))</f>
        <v/>
      </c>
      <c r="Q128" s="23">
        <f>IF(Refino!$L$29="","",G128*Refino!$L$29*(1-RetCraft))</f>
        <v/>
      </c>
      <c r="R128" t="n">
        <v>0</v>
      </c>
      <c r="S128" t="inlineStr">
        <is>
          <t>-</t>
        </is>
      </c>
      <c r="T128" s="25">
        <f>G128*Refino!$D$29</f>
        <v/>
      </c>
      <c r="U128" s="25">
        <f>T128*0.1125*FeeCraft/100</f>
        <v/>
      </c>
      <c r="V128" s="23">
        <f>IF(OR(Q128="",R128=""),"",Q128+R128+U128)</f>
        <v/>
      </c>
      <c r="W128" s="23">
        <f>IF(O128="","",O128*(1-TaxaVenda))</f>
        <v/>
      </c>
      <c r="X128" s="26">
        <f>IF(OR(V128="",W128=""),"",W128-V128)</f>
        <v/>
      </c>
      <c r="Y128" s="27">
        <f>IF(X128="","",X128/V128)</f>
        <v/>
      </c>
    </row>
    <row r="129">
      <c r="A129" t="inlineStr">
        <is>
          <t>Cavaleiro (Knight)|Botas|T4.0</t>
        </is>
      </c>
      <c r="B129" t="inlineStr">
        <is>
          <t>Cavaleiro (Knight)</t>
        </is>
      </c>
      <c r="C129" t="inlineStr">
        <is>
          <t>Botas</t>
        </is>
      </c>
      <c r="D129" t="inlineStr">
        <is>
          <t>T4.0</t>
        </is>
      </c>
      <c r="E129" t="n">
        <v>4</v>
      </c>
      <c r="F129" t="n">
        <v>0</v>
      </c>
      <c r="G129" t="n">
        <v>8</v>
      </c>
      <c r="H129" s="22" t="n"/>
      <c r="I129" s="22" t="n"/>
      <c r="J129" s="22" t="n"/>
      <c r="K129" s="22" t="n"/>
      <c r="L129" s="22" t="n"/>
      <c r="M129" s="22" t="n"/>
      <c r="N129" s="22" t="n"/>
      <c r="O129" s="23">
        <f>IF(COUNT(H129:N129)=0,"",MAX(H129:N129))</f>
        <v/>
      </c>
      <c r="P129" s="24">
        <f>IF(O129="","",INDEX($H$3:$N$3,MATCH(O129,H129:N129,0)))</f>
        <v/>
      </c>
      <c r="Q129" s="23">
        <f>IF(Refino!$L$5="","",G129*Refino!$L$5*(1-RetCraft))</f>
        <v/>
      </c>
      <c r="R129" t="n">
        <v>0</v>
      </c>
      <c r="S129" t="inlineStr">
        <is>
          <t>-</t>
        </is>
      </c>
      <c r="T129" s="25">
        <f>G129*Refino!$D$5</f>
        <v/>
      </c>
      <c r="U129" s="25">
        <f>T129*0.1125*FeeCraft/100</f>
        <v/>
      </c>
      <c r="V129" s="23">
        <f>IF(OR(Q129="",R129=""),"",Q129+R129+U129)</f>
        <v/>
      </c>
      <c r="W129" s="23">
        <f>IF(O129="","",O129*(1-TaxaVenda))</f>
        <v/>
      </c>
      <c r="X129" s="26">
        <f>IF(OR(V129="",W129=""),"",W129-V129)</f>
        <v/>
      </c>
      <c r="Y129" s="27">
        <f>IF(X129="","",X129/V129)</f>
        <v/>
      </c>
    </row>
    <row r="130">
      <c r="A130" t="inlineStr">
        <is>
          <t>Cavaleiro (Knight)|Botas|T4.1</t>
        </is>
      </c>
      <c r="B130" t="inlineStr">
        <is>
          <t>Cavaleiro (Knight)</t>
        </is>
      </c>
      <c r="C130" t="inlineStr">
        <is>
          <t>Botas</t>
        </is>
      </c>
      <c r="D130" t="inlineStr">
        <is>
          <t>T4.1</t>
        </is>
      </c>
      <c r="E130" t="n">
        <v>4</v>
      </c>
      <c r="F130" t="n">
        <v>1</v>
      </c>
      <c r="G130" t="n">
        <v>8</v>
      </c>
      <c r="H130" s="22" t="n"/>
      <c r="I130" s="22" t="n"/>
      <c r="J130" s="22" t="n"/>
      <c r="K130" s="22" t="n"/>
      <c r="L130" s="22" t="n"/>
      <c r="M130" s="22" t="n"/>
      <c r="N130" s="22" t="n"/>
      <c r="O130" s="23">
        <f>IF(COUNT(H130:N130)=0,"",MAX(H130:N130))</f>
        <v/>
      </c>
      <c r="P130" s="24">
        <f>IF(O130="","",INDEX($H$3:$N$3,MATCH(O130,H130:N130,0)))</f>
        <v/>
      </c>
      <c r="Q130" s="23">
        <f>IF(Refino!$L$6="","",G130*Refino!$L$6*(1-RetCraft))</f>
        <v/>
      </c>
      <c r="R130" t="n">
        <v>0</v>
      </c>
      <c r="S130" t="inlineStr">
        <is>
          <t>-</t>
        </is>
      </c>
      <c r="T130" s="25">
        <f>G130*Refino!$D$6</f>
        <v/>
      </c>
      <c r="U130" s="25">
        <f>T130*0.1125*FeeCraft/100</f>
        <v/>
      </c>
      <c r="V130" s="23">
        <f>IF(OR(Q130="",R130=""),"",Q130+R130+U130)</f>
        <v/>
      </c>
      <c r="W130" s="23">
        <f>IF(O130="","",O130*(1-TaxaVenda))</f>
        <v/>
      </c>
      <c r="X130" s="26">
        <f>IF(OR(V130="",W130=""),"",W130-V130)</f>
        <v/>
      </c>
      <c r="Y130" s="27">
        <f>IF(X130="","",X130/V130)</f>
        <v/>
      </c>
    </row>
    <row r="131">
      <c r="A131" t="inlineStr">
        <is>
          <t>Cavaleiro (Knight)|Botas|T4.2</t>
        </is>
      </c>
      <c r="B131" t="inlineStr">
        <is>
          <t>Cavaleiro (Knight)</t>
        </is>
      </c>
      <c r="C131" t="inlineStr">
        <is>
          <t>Botas</t>
        </is>
      </c>
      <c r="D131" t="inlineStr">
        <is>
          <t>T4.2</t>
        </is>
      </c>
      <c r="E131" t="n">
        <v>4</v>
      </c>
      <c r="F131" t="n">
        <v>2</v>
      </c>
      <c r="G131" t="n">
        <v>8</v>
      </c>
      <c r="H131" s="22" t="n"/>
      <c r="I131" s="22" t="n"/>
      <c r="J131" s="22" t="n"/>
      <c r="K131" s="22" t="n"/>
      <c r="L131" s="22" t="n"/>
      <c r="M131" s="22" t="n"/>
      <c r="N131" s="22" t="n"/>
      <c r="O131" s="23">
        <f>IF(COUNT(H131:N131)=0,"",MAX(H131:N131))</f>
        <v/>
      </c>
      <c r="P131" s="24">
        <f>IF(O131="","",INDEX($H$3:$N$3,MATCH(O131,H131:N131,0)))</f>
        <v/>
      </c>
      <c r="Q131" s="23">
        <f>IF(Refino!$L$7="","",G131*Refino!$L$7*(1-RetCraft))</f>
        <v/>
      </c>
      <c r="R131" t="n">
        <v>0</v>
      </c>
      <c r="S131" t="inlineStr">
        <is>
          <t>-</t>
        </is>
      </c>
      <c r="T131" s="25">
        <f>G131*Refino!$D$7</f>
        <v/>
      </c>
      <c r="U131" s="25">
        <f>T131*0.1125*FeeCraft/100</f>
        <v/>
      </c>
      <c r="V131" s="23">
        <f>IF(OR(Q131="",R131=""),"",Q131+R131+U131)</f>
        <v/>
      </c>
      <c r="W131" s="23">
        <f>IF(O131="","",O131*(1-TaxaVenda))</f>
        <v/>
      </c>
      <c r="X131" s="26">
        <f>IF(OR(V131="",W131=""),"",W131-V131)</f>
        <v/>
      </c>
      <c r="Y131" s="27">
        <f>IF(X131="","",X131/V131)</f>
        <v/>
      </c>
    </row>
    <row r="132">
      <c r="A132" t="inlineStr">
        <is>
          <t>Cavaleiro (Knight)|Botas|T4.3</t>
        </is>
      </c>
      <c r="B132" t="inlineStr">
        <is>
          <t>Cavaleiro (Knight)</t>
        </is>
      </c>
      <c r="C132" t="inlineStr">
        <is>
          <t>Botas</t>
        </is>
      </c>
      <c r="D132" t="inlineStr">
        <is>
          <t>T4.3</t>
        </is>
      </c>
      <c r="E132" t="n">
        <v>4</v>
      </c>
      <c r="F132" t="n">
        <v>3</v>
      </c>
      <c r="G132" t="n">
        <v>8</v>
      </c>
      <c r="H132" s="22" t="n"/>
      <c r="I132" s="22" t="n"/>
      <c r="J132" s="22" t="n"/>
      <c r="K132" s="22" t="n"/>
      <c r="L132" s="22" t="n"/>
      <c r="M132" s="22" t="n"/>
      <c r="N132" s="22" t="n"/>
      <c r="O132" s="23">
        <f>IF(COUNT(H132:N132)=0,"",MAX(H132:N132))</f>
        <v/>
      </c>
      <c r="P132" s="24">
        <f>IF(O132="","",INDEX($H$3:$N$3,MATCH(O132,H132:N132,0)))</f>
        <v/>
      </c>
      <c r="Q132" s="23">
        <f>IF(Refino!$L$8="","",G132*Refino!$L$8*(1-RetCraft))</f>
        <v/>
      </c>
      <c r="R132" t="n">
        <v>0</v>
      </c>
      <c r="S132" t="inlineStr">
        <is>
          <t>-</t>
        </is>
      </c>
      <c r="T132" s="25">
        <f>G132*Refino!$D$8</f>
        <v/>
      </c>
      <c r="U132" s="25">
        <f>T132*0.1125*FeeCraft/100</f>
        <v/>
      </c>
      <c r="V132" s="23">
        <f>IF(OR(Q132="",R132=""),"",Q132+R132+U132)</f>
        <v/>
      </c>
      <c r="W132" s="23">
        <f>IF(O132="","",O132*(1-TaxaVenda))</f>
        <v/>
      </c>
      <c r="X132" s="26">
        <f>IF(OR(V132="",W132=""),"",W132-V132)</f>
        <v/>
      </c>
      <c r="Y132" s="27">
        <f>IF(X132="","",X132/V132)</f>
        <v/>
      </c>
    </row>
    <row r="133">
      <c r="A133" t="inlineStr">
        <is>
          <t>Cavaleiro (Knight)|Botas|T4.4</t>
        </is>
      </c>
      <c r="B133" t="inlineStr">
        <is>
          <t>Cavaleiro (Knight)</t>
        </is>
      </c>
      <c r="C133" t="inlineStr">
        <is>
          <t>Botas</t>
        </is>
      </c>
      <c r="D133" t="inlineStr">
        <is>
          <t>T4.4</t>
        </is>
      </c>
      <c r="E133" t="n">
        <v>4</v>
      </c>
      <c r="F133" t="n">
        <v>4</v>
      </c>
      <c r="G133" t="n">
        <v>8</v>
      </c>
      <c r="H133" s="22" t="n"/>
      <c r="I133" s="22" t="n"/>
      <c r="J133" s="22" t="n"/>
      <c r="K133" s="22" t="n"/>
      <c r="L133" s="22" t="n"/>
      <c r="M133" s="22" t="n"/>
      <c r="N133" s="22" t="n"/>
      <c r="O133" s="23">
        <f>IF(COUNT(H133:N133)=0,"",MAX(H133:N133))</f>
        <v/>
      </c>
      <c r="P133" s="24">
        <f>IF(O133="","",INDEX($H$3:$N$3,MATCH(O133,H133:N133,0)))</f>
        <v/>
      </c>
      <c r="Q133" s="23">
        <f>IF(Refino!$L$9="","",G133*Refino!$L$9*(1-RetCraft))</f>
        <v/>
      </c>
      <c r="R133" t="n">
        <v>0</v>
      </c>
      <c r="S133" t="inlineStr">
        <is>
          <t>-</t>
        </is>
      </c>
      <c r="T133" s="25">
        <f>G133*Refino!$D$9</f>
        <v/>
      </c>
      <c r="U133" s="25">
        <f>T133*0.1125*FeeCraft/100</f>
        <v/>
      </c>
      <c r="V133" s="23">
        <f>IF(OR(Q133="",R133=""),"",Q133+R133+U133)</f>
        <v/>
      </c>
      <c r="W133" s="23">
        <f>IF(O133="","",O133*(1-TaxaVenda))</f>
        <v/>
      </c>
      <c r="X133" s="26">
        <f>IF(OR(V133="",W133=""),"",W133-V133)</f>
        <v/>
      </c>
      <c r="Y133" s="27">
        <f>IF(X133="","",X133/V133)</f>
        <v/>
      </c>
    </row>
    <row r="134">
      <c r="A134" t="inlineStr">
        <is>
          <t>Cavaleiro (Knight)|Botas|T5.0</t>
        </is>
      </c>
      <c r="B134" t="inlineStr">
        <is>
          <t>Cavaleiro (Knight)</t>
        </is>
      </c>
      <c r="C134" t="inlineStr">
        <is>
          <t>Botas</t>
        </is>
      </c>
      <c r="D134" t="inlineStr">
        <is>
          <t>T5.0</t>
        </is>
      </c>
      <c r="E134" t="n">
        <v>5</v>
      </c>
      <c r="F134" t="n">
        <v>0</v>
      </c>
      <c r="G134" t="n">
        <v>8</v>
      </c>
      <c r="H134" s="22" t="n"/>
      <c r="I134" s="22" t="n"/>
      <c r="J134" s="22" t="n"/>
      <c r="K134" s="22" t="n"/>
      <c r="L134" s="22" t="n"/>
      <c r="M134" s="22" t="n"/>
      <c r="N134" s="22" t="n"/>
      <c r="O134" s="23">
        <f>IF(COUNT(H134:N134)=0,"",MAX(H134:N134))</f>
        <v/>
      </c>
      <c r="P134" s="24">
        <f>IF(O134="","",INDEX($H$3:$N$3,MATCH(O134,H134:N134,0)))</f>
        <v/>
      </c>
      <c r="Q134" s="23">
        <f>IF(Refino!$L$10="","",G134*Refino!$L$10*(1-RetCraft))</f>
        <v/>
      </c>
      <c r="R134" t="n">
        <v>0</v>
      </c>
      <c r="S134" t="inlineStr">
        <is>
          <t>-</t>
        </is>
      </c>
      <c r="T134" s="25">
        <f>G134*Refino!$D$10</f>
        <v/>
      </c>
      <c r="U134" s="25">
        <f>T134*0.1125*FeeCraft/100</f>
        <v/>
      </c>
      <c r="V134" s="23">
        <f>IF(OR(Q134="",R134=""),"",Q134+R134+U134)</f>
        <v/>
      </c>
      <c r="W134" s="23">
        <f>IF(O134="","",O134*(1-TaxaVenda))</f>
        <v/>
      </c>
      <c r="X134" s="26">
        <f>IF(OR(V134="",W134=""),"",W134-V134)</f>
        <v/>
      </c>
      <c r="Y134" s="27">
        <f>IF(X134="","",X134/V134)</f>
        <v/>
      </c>
    </row>
    <row r="135">
      <c r="A135" t="inlineStr">
        <is>
          <t>Cavaleiro (Knight)|Botas|T5.1</t>
        </is>
      </c>
      <c r="B135" t="inlineStr">
        <is>
          <t>Cavaleiro (Knight)</t>
        </is>
      </c>
      <c r="C135" t="inlineStr">
        <is>
          <t>Botas</t>
        </is>
      </c>
      <c r="D135" t="inlineStr">
        <is>
          <t>T5.1</t>
        </is>
      </c>
      <c r="E135" t="n">
        <v>5</v>
      </c>
      <c r="F135" t="n">
        <v>1</v>
      </c>
      <c r="G135" t="n">
        <v>8</v>
      </c>
      <c r="H135" s="22" t="n"/>
      <c r="I135" s="22" t="n"/>
      <c r="J135" s="22" t="n"/>
      <c r="K135" s="22" t="n"/>
      <c r="L135" s="22" t="n"/>
      <c r="M135" s="22" t="n"/>
      <c r="N135" s="22" t="n"/>
      <c r="O135" s="23">
        <f>IF(COUNT(H135:N135)=0,"",MAX(H135:N135))</f>
        <v/>
      </c>
      <c r="P135" s="24">
        <f>IF(O135="","",INDEX($H$3:$N$3,MATCH(O135,H135:N135,0)))</f>
        <v/>
      </c>
      <c r="Q135" s="23">
        <f>IF(Refino!$L$11="","",G135*Refino!$L$11*(1-RetCraft))</f>
        <v/>
      </c>
      <c r="R135" t="n">
        <v>0</v>
      </c>
      <c r="S135" t="inlineStr">
        <is>
          <t>-</t>
        </is>
      </c>
      <c r="T135" s="25">
        <f>G135*Refino!$D$11</f>
        <v/>
      </c>
      <c r="U135" s="25">
        <f>T135*0.1125*FeeCraft/100</f>
        <v/>
      </c>
      <c r="V135" s="23">
        <f>IF(OR(Q135="",R135=""),"",Q135+R135+U135)</f>
        <v/>
      </c>
      <c r="W135" s="23">
        <f>IF(O135="","",O135*(1-TaxaVenda))</f>
        <v/>
      </c>
      <c r="X135" s="26">
        <f>IF(OR(V135="",W135=""),"",W135-V135)</f>
        <v/>
      </c>
      <c r="Y135" s="27">
        <f>IF(X135="","",X135/V135)</f>
        <v/>
      </c>
    </row>
    <row r="136">
      <c r="A136" t="inlineStr">
        <is>
          <t>Cavaleiro (Knight)|Botas|T5.2</t>
        </is>
      </c>
      <c r="B136" t="inlineStr">
        <is>
          <t>Cavaleiro (Knight)</t>
        </is>
      </c>
      <c r="C136" t="inlineStr">
        <is>
          <t>Botas</t>
        </is>
      </c>
      <c r="D136" t="inlineStr">
        <is>
          <t>T5.2</t>
        </is>
      </c>
      <c r="E136" t="n">
        <v>5</v>
      </c>
      <c r="F136" t="n">
        <v>2</v>
      </c>
      <c r="G136" t="n">
        <v>8</v>
      </c>
      <c r="H136" s="22" t="n"/>
      <c r="I136" s="22" t="n"/>
      <c r="J136" s="22" t="n"/>
      <c r="K136" s="22" t="n"/>
      <c r="L136" s="22" t="n"/>
      <c r="M136" s="22" t="n"/>
      <c r="N136" s="22" t="n"/>
      <c r="O136" s="23">
        <f>IF(COUNT(H136:N136)=0,"",MAX(H136:N136))</f>
        <v/>
      </c>
      <c r="P136" s="24">
        <f>IF(O136="","",INDEX($H$3:$N$3,MATCH(O136,H136:N136,0)))</f>
        <v/>
      </c>
      <c r="Q136" s="23">
        <f>IF(Refino!$L$12="","",G136*Refino!$L$12*(1-RetCraft))</f>
        <v/>
      </c>
      <c r="R136" t="n">
        <v>0</v>
      </c>
      <c r="S136" t="inlineStr">
        <is>
          <t>-</t>
        </is>
      </c>
      <c r="T136" s="25">
        <f>G136*Refino!$D$12</f>
        <v/>
      </c>
      <c r="U136" s="25">
        <f>T136*0.1125*FeeCraft/100</f>
        <v/>
      </c>
      <c r="V136" s="23">
        <f>IF(OR(Q136="",R136=""),"",Q136+R136+U136)</f>
        <v/>
      </c>
      <c r="W136" s="23">
        <f>IF(O136="","",O136*(1-TaxaVenda))</f>
        <v/>
      </c>
      <c r="X136" s="26">
        <f>IF(OR(V136="",W136=""),"",W136-V136)</f>
        <v/>
      </c>
      <c r="Y136" s="27">
        <f>IF(X136="","",X136/V136)</f>
        <v/>
      </c>
    </row>
    <row r="137">
      <c r="A137" t="inlineStr">
        <is>
          <t>Cavaleiro (Knight)|Botas|T5.3</t>
        </is>
      </c>
      <c r="B137" t="inlineStr">
        <is>
          <t>Cavaleiro (Knight)</t>
        </is>
      </c>
      <c r="C137" t="inlineStr">
        <is>
          <t>Botas</t>
        </is>
      </c>
      <c r="D137" t="inlineStr">
        <is>
          <t>T5.3</t>
        </is>
      </c>
      <c r="E137" t="n">
        <v>5</v>
      </c>
      <c r="F137" t="n">
        <v>3</v>
      </c>
      <c r="G137" t="n">
        <v>8</v>
      </c>
      <c r="H137" s="22" t="n"/>
      <c r="I137" s="22" t="n"/>
      <c r="J137" s="22" t="n"/>
      <c r="K137" s="22" t="n"/>
      <c r="L137" s="22" t="n"/>
      <c r="M137" s="22" t="n"/>
      <c r="N137" s="22" t="n"/>
      <c r="O137" s="23">
        <f>IF(COUNT(H137:N137)=0,"",MAX(H137:N137))</f>
        <v/>
      </c>
      <c r="P137" s="24">
        <f>IF(O137="","",INDEX($H$3:$N$3,MATCH(O137,H137:N137,0)))</f>
        <v/>
      </c>
      <c r="Q137" s="23">
        <f>IF(Refino!$L$13="","",G137*Refino!$L$13*(1-RetCraft))</f>
        <v/>
      </c>
      <c r="R137" t="n">
        <v>0</v>
      </c>
      <c r="S137" t="inlineStr">
        <is>
          <t>-</t>
        </is>
      </c>
      <c r="T137" s="25">
        <f>G137*Refino!$D$13</f>
        <v/>
      </c>
      <c r="U137" s="25">
        <f>T137*0.1125*FeeCraft/100</f>
        <v/>
      </c>
      <c r="V137" s="23">
        <f>IF(OR(Q137="",R137=""),"",Q137+R137+U137)</f>
        <v/>
      </c>
      <c r="W137" s="23">
        <f>IF(O137="","",O137*(1-TaxaVenda))</f>
        <v/>
      </c>
      <c r="X137" s="26">
        <f>IF(OR(V137="",W137=""),"",W137-V137)</f>
        <v/>
      </c>
      <c r="Y137" s="27">
        <f>IF(X137="","",X137/V137)</f>
        <v/>
      </c>
    </row>
    <row r="138">
      <c r="A138" t="inlineStr">
        <is>
          <t>Cavaleiro (Knight)|Botas|T5.4</t>
        </is>
      </c>
      <c r="B138" t="inlineStr">
        <is>
          <t>Cavaleiro (Knight)</t>
        </is>
      </c>
      <c r="C138" t="inlineStr">
        <is>
          <t>Botas</t>
        </is>
      </c>
      <c r="D138" t="inlineStr">
        <is>
          <t>T5.4</t>
        </is>
      </c>
      <c r="E138" t="n">
        <v>5</v>
      </c>
      <c r="F138" t="n">
        <v>4</v>
      </c>
      <c r="G138" t="n">
        <v>8</v>
      </c>
      <c r="H138" s="22" t="n"/>
      <c r="I138" s="22" t="n"/>
      <c r="J138" s="22" t="n"/>
      <c r="K138" s="22" t="n"/>
      <c r="L138" s="22" t="n"/>
      <c r="M138" s="22" t="n"/>
      <c r="N138" s="22" t="n"/>
      <c r="O138" s="23">
        <f>IF(COUNT(H138:N138)=0,"",MAX(H138:N138))</f>
        <v/>
      </c>
      <c r="P138" s="24">
        <f>IF(O138="","",INDEX($H$3:$N$3,MATCH(O138,H138:N138,0)))</f>
        <v/>
      </c>
      <c r="Q138" s="23">
        <f>IF(Refino!$L$14="","",G138*Refino!$L$14*(1-RetCraft))</f>
        <v/>
      </c>
      <c r="R138" t="n">
        <v>0</v>
      </c>
      <c r="S138" t="inlineStr">
        <is>
          <t>-</t>
        </is>
      </c>
      <c r="T138" s="25">
        <f>G138*Refino!$D$14</f>
        <v/>
      </c>
      <c r="U138" s="25">
        <f>T138*0.1125*FeeCraft/100</f>
        <v/>
      </c>
      <c r="V138" s="23">
        <f>IF(OR(Q138="",R138=""),"",Q138+R138+U138)</f>
        <v/>
      </c>
      <c r="W138" s="23">
        <f>IF(O138="","",O138*(1-TaxaVenda))</f>
        <v/>
      </c>
      <c r="X138" s="26">
        <f>IF(OR(V138="",W138=""),"",W138-V138)</f>
        <v/>
      </c>
      <c r="Y138" s="27">
        <f>IF(X138="","",X138/V138)</f>
        <v/>
      </c>
    </row>
    <row r="139">
      <c r="A139" t="inlineStr">
        <is>
          <t>Cavaleiro (Knight)|Botas|T6.0</t>
        </is>
      </c>
      <c r="B139" t="inlineStr">
        <is>
          <t>Cavaleiro (Knight)</t>
        </is>
      </c>
      <c r="C139" t="inlineStr">
        <is>
          <t>Botas</t>
        </is>
      </c>
      <c r="D139" t="inlineStr">
        <is>
          <t>T6.0</t>
        </is>
      </c>
      <c r="E139" t="n">
        <v>6</v>
      </c>
      <c r="F139" t="n">
        <v>0</v>
      </c>
      <c r="G139" t="n">
        <v>8</v>
      </c>
      <c r="H139" s="22" t="n"/>
      <c r="I139" s="22" t="n"/>
      <c r="J139" s="22" t="n"/>
      <c r="K139" s="22" t="n"/>
      <c r="L139" s="22" t="n"/>
      <c r="M139" s="22" t="n"/>
      <c r="N139" s="22" t="n"/>
      <c r="O139" s="23">
        <f>IF(COUNT(H139:N139)=0,"",MAX(H139:N139))</f>
        <v/>
      </c>
      <c r="P139" s="24">
        <f>IF(O139="","",INDEX($H$3:$N$3,MATCH(O139,H139:N139,0)))</f>
        <v/>
      </c>
      <c r="Q139" s="23">
        <f>IF(Refino!$L$15="","",G139*Refino!$L$15*(1-RetCraft))</f>
        <v/>
      </c>
      <c r="R139" t="n">
        <v>0</v>
      </c>
      <c r="S139" t="inlineStr">
        <is>
          <t>-</t>
        </is>
      </c>
      <c r="T139" s="25">
        <f>G139*Refino!$D$15</f>
        <v/>
      </c>
      <c r="U139" s="25">
        <f>T139*0.1125*FeeCraft/100</f>
        <v/>
      </c>
      <c r="V139" s="23">
        <f>IF(OR(Q139="",R139=""),"",Q139+R139+U139)</f>
        <v/>
      </c>
      <c r="W139" s="23">
        <f>IF(O139="","",O139*(1-TaxaVenda))</f>
        <v/>
      </c>
      <c r="X139" s="26">
        <f>IF(OR(V139="",W139=""),"",W139-V139)</f>
        <v/>
      </c>
      <c r="Y139" s="27">
        <f>IF(X139="","",X139/V139)</f>
        <v/>
      </c>
    </row>
    <row r="140">
      <c r="A140" t="inlineStr">
        <is>
          <t>Cavaleiro (Knight)|Botas|T6.1</t>
        </is>
      </c>
      <c r="B140" t="inlineStr">
        <is>
          <t>Cavaleiro (Knight)</t>
        </is>
      </c>
      <c r="C140" t="inlineStr">
        <is>
          <t>Botas</t>
        </is>
      </c>
      <c r="D140" t="inlineStr">
        <is>
          <t>T6.1</t>
        </is>
      </c>
      <c r="E140" t="n">
        <v>6</v>
      </c>
      <c r="F140" t="n">
        <v>1</v>
      </c>
      <c r="G140" t="n">
        <v>8</v>
      </c>
      <c r="H140" s="22" t="n"/>
      <c r="I140" s="22" t="n"/>
      <c r="J140" s="22" t="n"/>
      <c r="K140" s="22" t="n"/>
      <c r="L140" s="22" t="n"/>
      <c r="M140" s="22" t="n"/>
      <c r="N140" s="22" t="n"/>
      <c r="O140" s="23">
        <f>IF(COUNT(H140:N140)=0,"",MAX(H140:N140))</f>
        <v/>
      </c>
      <c r="P140" s="24">
        <f>IF(O140="","",INDEX($H$3:$N$3,MATCH(O140,H140:N140,0)))</f>
        <v/>
      </c>
      <c r="Q140" s="23">
        <f>IF(Refino!$L$16="","",G140*Refino!$L$16*(1-RetCraft))</f>
        <v/>
      </c>
      <c r="R140" t="n">
        <v>0</v>
      </c>
      <c r="S140" t="inlineStr">
        <is>
          <t>-</t>
        </is>
      </c>
      <c r="T140" s="25">
        <f>G140*Refino!$D$16</f>
        <v/>
      </c>
      <c r="U140" s="25">
        <f>T140*0.1125*FeeCraft/100</f>
        <v/>
      </c>
      <c r="V140" s="23">
        <f>IF(OR(Q140="",R140=""),"",Q140+R140+U140)</f>
        <v/>
      </c>
      <c r="W140" s="23">
        <f>IF(O140="","",O140*(1-TaxaVenda))</f>
        <v/>
      </c>
      <c r="X140" s="26">
        <f>IF(OR(V140="",W140=""),"",W140-V140)</f>
        <v/>
      </c>
      <c r="Y140" s="27">
        <f>IF(X140="","",X140/V140)</f>
        <v/>
      </c>
    </row>
    <row r="141">
      <c r="A141" t="inlineStr">
        <is>
          <t>Cavaleiro (Knight)|Botas|T6.2</t>
        </is>
      </c>
      <c r="B141" t="inlineStr">
        <is>
          <t>Cavaleiro (Knight)</t>
        </is>
      </c>
      <c r="C141" t="inlineStr">
        <is>
          <t>Botas</t>
        </is>
      </c>
      <c r="D141" t="inlineStr">
        <is>
          <t>T6.2</t>
        </is>
      </c>
      <c r="E141" t="n">
        <v>6</v>
      </c>
      <c r="F141" t="n">
        <v>2</v>
      </c>
      <c r="G141" t="n">
        <v>8</v>
      </c>
      <c r="H141" s="22" t="n"/>
      <c r="I141" s="22" t="n"/>
      <c r="J141" s="22" t="n"/>
      <c r="K141" s="22" t="n"/>
      <c r="L141" s="22" t="n"/>
      <c r="M141" s="22" t="n"/>
      <c r="N141" s="22" t="n"/>
      <c r="O141" s="23">
        <f>IF(COUNT(H141:N141)=0,"",MAX(H141:N141))</f>
        <v/>
      </c>
      <c r="P141" s="24">
        <f>IF(O141="","",INDEX($H$3:$N$3,MATCH(O141,H141:N141,0)))</f>
        <v/>
      </c>
      <c r="Q141" s="23">
        <f>IF(Refino!$L$17="","",G141*Refino!$L$17*(1-RetCraft))</f>
        <v/>
      </c>
      <c r="R141" t="n">
        <v>0</v>
      </c>
      <c r="S141" t="inlineStr">
        <is>
          <t>-</t>
        </is>
      </c>
      <c r="T141" s="25">
        <f>G141*Refino!$D$17</f>
        <v/>
      </c>
      <c r="U141" s="25">
        <f>T141*0.1125*FeeCraft/100</f>
        <v/>
      </c>
      <c r="V141" s="23">
        <f>IF(OR(Q141="",R141=""),"",Q141+R141+U141)</f>
        <v/>
      </c>
      <c r="W141" s="23">
        <f>IF(O141="","",O141*(1-TaxaVenda))</f>
        <v/>
      </c>
      <c r="X141" s="26">
        <f>IF(OR(V141="",W141=""),"",W141-V141)</f>
        <v/>
      </c>
      <c r="Y141" s="27">
        <f>IF(X141="","",X141/V141)</f>
        <v/>
      </c>
    </row>
    <row r="142">
      <c r="A142" t="inlineStr">
        <is>
          <t>Cavaleiro (Knight)|Botas|T6.3</t>
        </is>
      </c>
      <c r="B142" t="inlineStr">
        <is>
          <t>Cavaleiro (Knight)</t>
        </is>
      </c>
      <c r="C142" t="inlineStr">
        <is>
          <t>Botas</t>
        </is>
      </c>
      <c r="D142" t="inlineStr">
        <is>
          <t>T6.3</t>
        </is>
      </c>
      <c r="E142" t="n">
        <v>6</v>
      </c>
      <c r="F142" t="n">
        <v>3</v>
      </c>
      <c r="G142" t="n">
        <v>8</v>
      </c>
      <c r="H142" s="22" t="n"/>
      <c r="I142" s="22" t="n"/>
      <c r="J142" s="22" t="n"/>
      <c r="K142" s="22" t="n"/>
      <c r="L142" s="22" t="n"/>
      <c r="M142" s="22" t="n"/>
      <c r="N142" s="22" t="n"/>
      <c r="O142" s="23">
        <f>IF(COUNT(H142:N142)=0,"",MAX(H142:N142))</f>
        <v/>
      </c>
      <c r="P142" s="24">
        <f>IF(O142="","",INDEX($H$3:$N$3,MATCH(O142,H142:N142,0)))</f>
        <v/>
      </c>
      <c r="Q142" s="23">
        <f>IF(Refino!$L$18="","",G142*Refino!$L$18*(1-RetCraft))</f>
        <v/>
      </c>
      <c r="R142" t="n">
        <v>0</v>
      </c>
      <c r="S142" t="inlineStr">
        <is>
          <t>-</t>
        </is>
      </c>
      <c r="T142" s="25">
        <f>G142*Refino!$D$18</f>
        <v/>
      </c>
      <c r="U142" s="25">
        <f>T142*0.1125*FeeCraft/100</f>
        <v/>
      </c>
      <c r="V142" s="23">
        <f>IF(OR(Q142="",R142=""),"",Q142+R142+U142)</f>
        <v/>
      </c>
      <c r="W142" s="23">
        <f>IF(O142="","",O142*(1-TaxaVenda))</f>
        <v/>
      </c>
      <c r="X142" s="26">
        <f>IF(OR(V142="",W142=""),"",W142-V142)</f>
        <v/>
      </c>
      <c r="Y142" s="27">
        <f>IF(X142="","",X142/V142)</f>
        <v/>
      </c>
    </row>
    <row r="143">
      <c r="A143" t="inlineStr">
        <is>
          <t>Cavaleiro (Knight)|Botas|T6.4</t>
        </is>
      </c>
      <c r="B143" t="inlineStr">
        <is>
          <t>Cavaleiro (Knight)</t>
        </is>
      </c>
      <c r="C143" t="inlineStr">
        <is>
          <t>Botas</t>
        </is>
      </c>
      <c r="D143" t="inlineStr">
        <is>
          <t>T6.4</t>
        </is>
      </c>
      <c r="E143" t="n">
        <v>6</v>
      </c>
      <c r="F143" t="n">
        <v>4</v>
      </c>
      <c r="G143" t="n">
        <v>8</v>
      </c>
      <c r="H143" s="22" t="n"/>
      <c r="I143" s="22" t="n"/>
      <c r="J143" s="22" t="n"/>
      <c r="K143" s="22" t="n"/>
      <c r="L143" s="22" t="n"/>
      <c r="M143" s="22" t="n"/>
      <c r="N143" s="22" t="n"/>
      <c r="O143" s="23">
        <f>IF(COUNT(H143:N143)=0,"",MAX(H143:N143))</f>
        <v/>
      </c>
      <c r="P143" s="24">
        <f>IF(O143="","",INDEX($H$3:$N$3,MATCH(O143,H143:N143,0)))</f>
        <v/>
      </c>
      <c r="Q143" s="23">
        <f>IF(Refino!$L$19="","",G143*Refino!$L$19*(1-RetCraft))</f>
        <v/>
      </c>
      <c r="R143" t="n">
        <v>0</v>
      </c>
      <c r="S143" t="inlineStr">
        <is>
          <t>-</t>
        </is>
      </c>
      <c r="T143" s="25">
        <f>G143*Refino!$D$19</f>
        <v/>
      </c>
      <c r="U143" s="25">
        <f>T143*0.1125*FeeCraft/100</f>
        <v/>
      </c>
      <c r="V143" s="23">
        <f>IF(OR(Q143="",R143=""),"",Q143+R143+U143)</f>
        <v/>
      </c>
      <c r="W143" s="23">
        <f>IF(O143="","",O143*(1-TaxaVenda))</f>
        <v/>
      </c>
      <c r="X143" s="26">
        <f>IF(OR(V143="",W143=""),"",W143-V143)</f>
        <v/>
      </c>
      <c r="Y143" s="27">
        <f>IF(X143="","",X143/V143)</f>
        <v/>
      </c>
    </row>
    <row r="144">
      <c r="A144" t="inlineStr">
        <is>
          <t>Cavaleiro (Knight)|Botas|T7.0</t>
        </is>
      </c>
      <c r="B144" t="inlineStr">
        <is>
          <t>Cavaleiro (Knight)</t>
        </is>
      </c>
      <c r="C144" t="inlineStr">
        <is>
          <t>Botas</t>
        </is>
      </c>
      <c r="D144" t="inlineStr">
        <is>
          <t>T7.0</t>
        </is>
      </c>
      <c r="E144" t="n">
        <v>7</v>
      </c>
      <c r="F144" t="n">
        <v>0</v>
      </c>
      <c r="G144" t="n">
        <v>8</v>
      </c>
      <c r="H144" s="22" t="n"/>
      <c r="I144" s="22" t="n"/>
      <c r="J144" s="22" t="n"/>
      <c r="K144" s="22" t="n"/>
      <c r="L144" s="22" t="n"/>
      <c r="M144" s="22" t="n"/>
      <c r="N144" s="22" t="n"/>
      <c r="O144" s="23">
        <f>IF(COUNT(H144:N144)=0,"",MAX(H144:N144))</f>
        <v/>
      </c>
      <c r="P144" s="24">
        <f>IF(O144="","",INDEX($H$3:$N$3,MATCH(O144,H144:N144,0)))</f>
        <v/>
      </c>
      <c r="Q144" s="23">
        <f>IF(Refino!$L$20="","",G144*Refino!$L$20*(1-RetCraft))</f>
        <v/>
      </c>
      <c r="R144" t="n">
        <v>0</v>
      </c>
      <c r="S144" t="inlineStr">
        <is>
          <t>-</t>
        </is>
      </c>
      <c r="T144" s="25">
        <f>G144*Refino!$D$20</f>
        <v/>
      </c>
      <c r="U144" s="25">
        <f>T144*0.1125*FeeCraft/100</f>
        <v/>
      </c>
      <c r="V144" s="23">
        <f>IF(OR(Q144="",R144=""),"",Q144+R144+U144)</f>
        <v/>
      </c>
      <c r="W144" s="23">
        <f>IF(O144="","",O144*(1-TaxaVenda))</f>
        <v/>
      </c>
      <c r="X144" s="26">
        <f>IF(OR(V144="",W144=""),"",W144-V144)</f>
        <v/>
      </c>
      <c r="Y144" s="27">
        <f>IF(X144="","",X144/V144)</f>
        <v/>
      </c>
    </row>
    <row r="145">
      <c r="A145" t="inlineStr">
        <is>
          <t>Cavaleiro (Knight)|Botas|T7.1</t>
        </is>
      </c>
      <c r="B145" t="inlineStr">
        <is>
          <t>Cavaleiro (Knight)</t>
        </is>
      </c>
      <c r="C145" t="inlineStr">
        <is>
          <t>Botas</t>
        </is>
      </c>
      <c r="D145" t="inlineStr">
        <is>
          <t>T7.1</t>
        </is>
      </c>
      <c r="E145" t="n">
        <v>7</v>
      </c>
      <c r="F145" t="n">
        <v>1</v>
      </c>
      <c r="G145" t="n">
        <v>8</v>
      </c>
      <c r="H145" s="22" t="n"/>
      <c r="I145" s="22" t="n"/>
      <c r="J145" s="22" t="n"/>
      <c r="K145" s="22" t="n"/>
      <c r="L145" s="22" t="n"/>
      <c r="M145" s="22" t="n"/>
      <c r="N145" s="22" t="n"/>
      <c r="O145" s="23">
        <f>IF(COUNT(H145:N145)=0,"",MAX(H145:N145))</f>
        <v/>
      </c>
      <c r="P145" s="24">
        <f>IF(O145="","",INDEX($H$3:$N$3,MATCH(O145,H145:N145,0)))</f>
        <v/>
      </c>
      <c r="Q145" s="23">
        <f>IF(Refino!$L$21="","",G145*Refino!$L$21*(1-RetCraft))</f>
        <v/>
      </c>
      <c r="R145" t="n">
        <v>0</v>
      </c>
      <c r="S145" t="inlineStr">
        <is>
          <t>-</t>
        </is>
      </c>
      <c r="T145" s="25">
        <f>G145*Refino!$D$21</f>
        <v/>
      </c>
      <c r="U145" s="25">
        <f>T145*0.1125*FeeCraft/100</f>
        <v/>
      </c>
      <c r="V145" s="23">
        <f>IF(OR(Q145="",R145=""),"",Q145+R145+U145)</f>
        <v/>
      </c>
      <c r="W145" s="23">
        <f>IF(O145="","",O145*(1-TaxaVenda))</f>
        <v/>
      </c>
      <c r="X145" s="26">
        <f>IF(OR(V145="",W145=""),"",W145-V145)</f>
        <v/>
      </c>
      <c r="Y145" s="27">
        <f>IF(X145="","",X145/V145)</f>
        <v/>
      </c>
    </row>
    <row r="146">
      <c r="A146" t="inlineStr">
        <is>
          <t>Cavaleiro (Knight)|Botas|T7.2</t>
        </is>
      </c>
      <c r="B146" t="inlineStr">
        <is>
          <t>Cavaleiro (Knight)</t>
        </is>
      </c>
      <c r="C146" t="inlineStr">
        <is>
          <t>Botas</t>
        </is>
      </c>
      <c r="D146" t="inlineStr">
        <is>
          <t>T7.2</t>
        </is>
      </c>
      <c r="E146" t="n">
        <v>7</v>
      </c>
      <c r="F146" t="n">
        <v>2</v>
      </c>
      <c r="G146" t="n">
        <v>8</v>
      </c>
      <c r="H146" s="22" t="n"/>
      <c r="I146" s="22" t="n"/>
      <c r="J146" s="22" t="n"/>
      <c r="K146" s="22" t="n"/>
      <c r="L146" s="22" t="n"/>
      <c r="M146" s="22" t="n"/>
      <c r="N146" s="22" t="n"/>
      <c r="O146" s="23">
        <f>IF(COUNT(H146:N146)=0,"",MAX(H146:N146))</f>
        <v/>
      </c>
      <c r="P146" s="24">
        <f>IF(O146="","",INDEX($H$3:$N$3,MATCH(O146,H146:N146,0)))</f>
        <v/>
      </c>
      <c r="Q146" s="23">
        <f>IF(Refino!$L$22="","",G146*Refino!$L$22*(1-RetCraft))</f>
        <v/>
      </c>
      <c r="R146" t="n">
        <v>0</v>
      </c>
      <c r="S146" t="inlineStr">
        <is>
          <t>-</t>
        </is>
      </c>
      <c r="T146" s="25">
        <f>G146*Refino!$D$22</f>
        <v/>
      </c>
      <c r="U146" s="25">
        <f>T146*0.1125*FeeCraft/100</f>
        <v/>
      </c>
      <c r="V146" s="23">
        <f>IF(OR(Q146="",R146=""),"",Q146+R146+U146)</f>
        <v/>
      </c>
      <c r="W146" s="23">
        <f>IF(O146="","",O146*(1-TaxaVenda))</f>
        <v/>
      </c>
      <c r="X146" s="26">
        <f>IF(OR(V146="",W146=""),"",W146-V146)</f>
        <v/>
      </c>
      <c r="Y146" s="27">
        <f>IF(X146="","",X146/V146)</f>
        <v/>
      </c>
    </row>
    <row r="147">
      <c r="A147" t="inlineStr">
        <is>
          <t>Cavaleiro (Knight)|Botas|T7.3</t>
        </is>
      </c>
      <c r="B147" t="inlineStr">
        <is>
          <t>Cavaleiro (Knight)</t>
        </is>
      </c>
      <c r="C147" t="inlineStr">
        <is>
          <t>Botas</t>
        </is>
      </c>
      <c r="D147" t="inlineStr">
        <is>
          <t>T7.3</t>
        </is>
      </c>
      <c r="E147" t="n">
        <v>7</v>
      </c>
      <c r="F147" t="n">
        <v>3</v>
      </c>
      <c r="G147" t="n">
        <v>8</v>
      </c>
      <c r="H147" s="22" t="n"/>
      <c r="I147" s="22" t="n"/>
      <c r="J147" s="22" t="n"/>
      <c r="K147" s="22" t="n"/>
      <c r="L147" s="22" t="n"/>
      <c r="M147" s="22" t="n"/>
      <c r="N147" s="22" t="n"/>
      <c r="O147" s="23">
        <f>IF(COUNT(H147:N147)=0,"",MAX(H147:N147))</f>
        <v/>
      </c>
      <c r="P147" s="24">
        <f>IF(O147="","",INDEX($H$3:$N$3,MATCH(O147,H147:N147,0)))</f>
        <v/>
      </c>
      <c r="Q147" s="23">
        <f>IF(Refino!$L$23="","",G147*Refino!$L$23*(1-RetCraft))</f>
        <v/>
      </c>
      <c r="R147" t="n">
        <v>0</v>
      </c>
      <c r="S147" t="inlineStr">
        <is>
          <t>-</t>
        </is>
      </c>
      <c r="T147" s="25">
        <f>G147*Refino!$D$23</f>
        <v/>
      </c>
      <c r="U147" s="25">
        <f>T147*0.1125*FeeCraft/100</f>
        <v/>
      </c>
      <c r="V147" s="23">
        <f>IF(OR(Q147="",R147=""),"",Q147+R147+U147)</f>
        <v/>
      </c>
      <c r="W147" s="23">
        <f>IF(O147="","",O147*(1-TaxaVenda))</f>
        <v/>
      </c>
      <c r="X147" s="26">
        <f>IF(OR(V147="",W147=""),"",W147-V147)</f>
        <v/>
      </c>
      <c r="Y147" s="27">
        <f>IF(X147="","",X147/V147)</f>
        <v/>
      </c>
    </row>
    <row r="148">
      <c r="A148" t="inlineStr">
        <is>
          <t>Cavaleiro (Knight)|Botas|T7.4</t>
        </is>
      </c>
      <c r="B148" t="inlineStr">
        <is>
          <t>Cavaleiro (Knight)</t>
        </is>
      </c>
      <c r="C148" t="inlineStr">
        <is>
          <t>Botas</t>
        </is>
      </c>
      <c r="D148" t="inlineStr">
        <is>
          <t>T7.4</t>
        </is>
      </c>
      <c r="E148" t="n">
        <v>7</v>
      </c>
      <c r="F148" t="n">
        <v>4</v>
      </c>
      <c r="G148" t="n">
        <v>8</v>
      </c>
      <c r="H148" s="22" t="n"/>
      <c r="I148" s="22" t="n"/>
      <c r="J148" s="22" t="n"/>
      <c r="K148" s="22" t="n"/>
      <c r="L148" s="22" t="n"/>
      <c r="M148" s="22" t="n"/>
      <c r="N148" s="22" t="n"/>
      <c r="O148" s="23">
        <f>IF(COUNT(H148:N148)=0,"",MAX(H148:N148))</f>
        <v/>
      </c>
      <c r="P148" s="24">
        <f>IF(O148="","",INDEX($H$3:$N$3,MATCH(O148,H148:N148,0)))</f>
        <v/>
      </c>
      <c r="Q148" s="23">
        <f>IF(Refino!$L$24="","",G148*Refino!$L$24*(1-RetCraft))</f>
        <v/>
      </c>
      <c r="R148" t="n">
        <v>0</v>
      </c>
      <c r="S148" t="inlineStr">
        <is>
          <t>-</t>
        </is>
      </c>
      <c r="T148" s="25">
        <f>G148*Refino!$D$24</f>
        <v/>
      </c>
      <c r="U148" s="25">
        <f>T148*0.1125*FeeCraft/100</f>
        <v/>
      </c>
      <c r="V148" s="23">
        <f>IF(OR(Q148="",R148=""),"",Q148+R148+U148)</f>
        <v/>
      </c>
      <c r="W148" s="23">
        <f>IF(O148="","",O148*(1-TaxaVenda))</f>
        <v/>
      </c>
      <c r="X148" s="26">
        <f>IF(OR(V148="",W148=""),"",W148-V148)</f>
        <v/>
      </c>
      <c r="Y148" s="27">
        <f>IF(X148="","",X148/V148)</f>
        <v/>
      </c>
    </row>
    <row r="149">
      <c r="A149" t="inlineStr">
        <is>
          <t>Cavaleiro (Knight)|Botas|T8.0</t>
        </is>
      </c>
      <c r="B149" t="inlineStr">
        <is>
          <t>Cavaleiro (Knight)</t>
        </is>
      </c>
      <c r="C149" t="inlineStr">
        <is>
          <t>Botas</t>
        </is>
      </c>
      <c r="D149" t="inlineStr">
        <is>
          <t>T8.0</t>
        </is>
      </c>
      <c r="E149" t="n">
        <v>8</v>
      </c>
      <c r="F149" t="n">
        <v>0</v>
      </c>
      <c r="G149" t="n">
        <v>8</v>
      </c>
      <c r="H149" s="22" t="n"/>
      <c r="I149" s="22" t="n"/>
      <c r="J149" s="22" t="n"/>
      <c r="K149" s="22" t="n"/>
      <c r="L149" s="22" t="n"/>
      <c r="M149" s="22" t="n"/>
      <c r="N149" s="22" t="n"/>
      <c r="O149" s="23">
        <f>IF(COUNT(H149:N149)=0,"",MAX(H149:N149))</f>
        <v/>
      </c>
      <c r="P149" s="24">
        <f>IF(O149="","",INDEX($H$3:$N$3,MATCH(O149,H149:N149,0)))</f>
        <v/>
      </c>
      <c r="Q149" s="23">
        <f>IF(Refino!$L$25="","",G149*Refino!$L$25*(1-RetCraft))</f>
        <v/>
      </c>
      <c r="R149" t="n">
        <v>0</v>
      </c>
      <c r="S149" t="inlineStr">
        <is>
          <t>-</t>
        </is>
      </c>
      <c r="T149" s="25">
        <f>G149*Refino!$D$25</f>
        <v/>
      </c>
      <c r="U149" s="25">
        <f>T149*0.1125*FeeCraft/100</f>
        <v/>
      </c>
      <c r="V149" s="23">
        <f>IF(OR(Q149="",R149=""),"",Q149+R149+U149)</f>
        <v/>
      </c>
      <c r="W149" s="23">
        <f>IF(O149="","",O149*(1-TaxaVenda))</f>
        <v/>
      </c>
      <c r="X149" s="26">
        <f>IF(OR(V149="",W149=""),"",W149-V149)</f>
        <v/>
      </c>
      <c r="Y149" s="27">
        <f>IF(X149="","",X149/V149)</f>
        <v/>
      </c>
    </row>
    <row r="150">
      <c r="A150" t="inlineStr">
        <is>
          <t>Cavaleiro (Knight)|Botas|T8.1</t>
        </is>
      </c>
      <c r="B150" t="inlineStr">
        <is>
          <t>Cavaleiro (Knight)</t>
        </is>
      </c>
      <c r="C150" t="inlineStr">
        <is>
          <t>Botas</t>
        </is>
      </c>
      <c r="D150" t="inlineStr">
        <is>
          <t>T8.1</t>
        </is>
      </c>
      <c r="E150" t="n">
        <v>8</v>
      </c>
      <c r="F150" t="n">
        <v>1</v>
      </c>
      <c r="G150" t="n">
        <v>8</v>
      </c>
      <c r="H150" s="22" t="n"/>
      <c r="I150" s="22" t="n"/>
      <c r="J150" s="22" t="n"/>
      <c r="K150" s="22" t="n"/>
      <c r="L150" s="22" t="n"/>
      <c r="M150" s="22" t="n"/>
      <c r="N150" s="22" t="n"/>
      <c r="O150" s="23">
        <f>IF(COUNT(H150:N150)=0,"",MAX(H150:N150))</f>
        <v/>
      </c>
      <c r="P150" s="24">
        <f>IF(O150="","",INDEX($H$3:$N$3,MATCH(O150,H150:N150,0)))</f>
        <v/>
      </c>
      <c r="Q150" s="23">
        <f>IF(Refino!$L$26="","",G150*Refino!$L$26*(1-RetCraft))</f>
        <v/>
      </c>
      <c r="R150" t="n">
        <v>0</v>
      </c>
      <c r="S150" t="inlineStr">
        <is>
          <t>-</t>
        </is>
      </c>
      <c r="T150" s="25">
        <f>G150*Refino!$D$26</f>
        <v/>
      </c>
      <c r="U150" s="25">
        <f>T150*0.1125*FeeCraft/100</f>
        <v/>
      </c>
      <c r="V150" s="23">
        <f>IF(OR(Q150="",R150=""),"",Q150+R150+U150)</f>
        <v/>
      </c>
      <c r="W150" s="23">
        <f>IF(O150="","",O150*(1-TaxaVenda))</f>
        <v/>
      </c>
      <c r="X150" s="26">
        <f>IF(OR(V150="",W150=""),"",W150-V150)</f>
        <v/>
      </c>
      <c r="Y150" s="27">
        <f>IF(X150="","",X150/V150)</f>
        <v/>
      </c>
    </row>
    <row r="151">
      <c r="A151" t="inlineStr">
        <is>
          <t>Cavaleiro (Knight)|Botas|T8.2</t>
        </is>
      </c>
      <c r="B151" t="inlineStr">
        <is>
          <t>Cavaleiro (Knight)</t>
        </is>
      </c>
      <c r="C151" t="inlineStr">
        <is>
          <t>Botas</t>
        </is>
      </c>
      <c r="D151" t="inlineStr">
        <is>
          <t>T8.2</t>
        </is>
      </c>
      <c r="E151" t="n">
        <v>8</v>
      </c>
      <c r="F151" t="n">
        <v>2</v>
      </c>
      <c r="G151" t="n">
        <v>8</v>
      </c>
      <c r="H151" s="22" t="n"/>
      <c r="I151" s="22" t="n"/>
      <c r="J151" s="22" t="n"/>
      <c r="K151" s="22" t="n"/>
      <c r="L151" s="22" t="n"/>
      <c r="M151" s="22" t="n"/>
      <c r="N151" s="22" t="n"/>
      <c r="O151" s="23">
        <f>IF(COUNT(H151:N151)=0,"",MAX(H151:N151))</f>
        <v/>
      </c>
      <c r="P151" s="24">
        <f>IF(O151="","",INDEX($H$3:$N$3,MATCH(O151,H151:N151,0)))</f>
        <v/>
      </c>
      <c r="Q151" s="23">
        <f>IF(Refino!$L$27="","",G151*Refino!$L$27*(1-RetCraft))</f>
        <v/>
      </c>
      <c r="R151" t="n">
        <v>0</v>
      </c>
      <c r="S151" t="inlineStr">
        <is>
          <t>-</t>
        </is>
      </c>
      <c r="T151" s="25">
        <f>G151*Refino!$D$27</f>
        <v/>
      </c>
      <c r="U151" s="25">
        <f>T151*0.1125*FeeCraft/100</f>
        <v/>
      </c>
      <c r="V151" s="23">
        <f>IF(OR(Q151="",R151=""),"",Q151+R151+U151)</f>
        <v/>
      </c>
      <c r="W151" s="23">
        <f>IF(O151="","",O151*(1-TaxaVenda))</f>
        <v/>
      </c>
      <c r="X151" s="26">
        <f>IF(OR(V151="",W151=""),"",W151-V151)</f>
        <v/>
      </c>
      <c r="Y151" s="27">
        <f>IF(X151="","",X151/V151)</f>
        <v/>
      </c>
    </row>
    <row r="152">
      <c r="A152" t="inlineStr">
        <is>
          <t>Cavaleiro (Knight)|Botas|T8.3</t>
        </is>
      </c>
      <c r="B152" t="inlineStr">
        <is>
          <t>Cavaleiro (Knight)</t>
        </is>
      </c>
      <c r="C152" t="inlineStr">
        <is>
          <t>Botas</t>
        </is>
      </c>
      <c r="D152" t="inlineStr">
        <is>
          <t>T8.3</t>
        </is>
      </c>
      <c r="E152" t="n">
        <v>8</v>
      </c>
      <c r="F152" t="n">
        <v>3</v>
      </c>
      <c r="G152" t="n">
        <v>8</v>
      </c>
      <c r="H152" s="22" t="n"/>
      <c r="I152" s="22" t="n"/>
      <c r="J152" s="22" t="n"/>
      <c r="K152" s="22" t="n"/>
      <c r="L152" s="22" t="n"/>
      <c r="M152" s="22" t="n"/>
      <c r="N152" s="22" t="n"/>
      <c r="O152" s="23">
        <f>IF(COUNT(H152:N152)=0,"",MAX(H152:N152))</f>
        <v/>
      </c>
      <c r="P152" s="24">
        <f>IF(O152="","",INDEX($H$3:$N$3,MATCH(O152,H152:N152,0)))</f>
        <v/>
      </c>
      <c r="Q152" s="23">
        <f>IF(Refino!$L$28="","",G152*Refino!$L$28*(1-RetCraft))</f>
        <v/>
      </c>
      <c r="R152" t="n">
        <v>0</v>
      </c>
      <c r="S152" t="inlineStr">
        <is>
          <t>-</t>
        </is>
      </c>
      <c r="T152" s="25">
        <f>G152*Refino!$D$28</f>
        <v/>
      </c>
      <c r="U152" s="25">
        <f>T152*0.1125*FeeCraft/100</f>
        <v/>
      </c>
      <c r="V152" s="23">
        <f>IF(OR(Q152="",R152=""),"",Q152+R152+U152)</f>
        <v/>
      </c>
      <c r="W152" s="23">
        <f>IF(O152="","",O152*(1-TaxaVenda))</f>
        <v/>
      </c>
      <c r="X152" s="26">
        <f>IF(OR(V152="",W152=""),"",W152-V152)</f>
        <v/>
      </c>
      <c r="Y152" s="27">
        <f>IF(X152="","",X152/V152)</f>
        <v/>
      </c>
    </row>
    <row r="153">
      <c r="A153" t="inlineStr">
        <is>
          <t>Cavaleiro (Knight)|Botas|T8.4</t>
        </is>
      </c>
      <c r="B153" t="inlineStr">
        <is>
          <t>Cavaleiro (Knight)</t>
        </is>
      </c>
      <c r="C153" t="inlineStr">
        <is>
          <t>Botas</t>
        </is>
      </c>
      <c r="D153" t="inlineStr">
        <is>
          <t>T8.4</t>
        </is>
      </c>
      <c r="E153" t="n">
        <v>8</v>
      </c>
      <c r="F153" t="n">
        <v>4</v>
      </c>
      <c r="G153" t="n">
        <v>8</v>
      </c>
      <c r="H153" s="22" t="n"/>
      <c r="I153" s="22" t="n"/>
      <c r="J153" s="22" t="n"/>
      <c r="K153" s="22" t="n"/>
      <c r="L153" s="22" t="n"/>
      <c r="M153" s="22" t="n"/>
      <c r="N153" s="22" t="n"/>
      <c r="O153" s="23">
        <f>IF(COUNT(H153:N153)=0,"",MAX(H153:N153))</f>
        <v/>
      </c>
      <c r="P153" s="24">
        <f>IF(O153="","",INDEX($H$3:$N$3,MATCH(O153,H153:N153,0)))</f>
        <v/>
      </c>
      <c r="Q153" s="23">
        <f>IF(Refino!$L$29="","",G153*Refino!$L$29*(1-RetCraft))</f>
        <v/>
      </c>
      <c r="R153" t="n">
        <v>0</v>
      </c>
      <c r="S153" t="inlineStr">
        <is>
          <t>-</t>
        </is>
      </c>
      <c r="T153" s="25">
        <f>G153*Refino!$D$29</f>
        <v/>
      </c>
      <c r="U153" s="25">
        <f>T153*0.1125*FeeCraft/100</f>
        <v/>
      </c>
      <c r="V153" s="23">
        <f>IF(OR(Q153="",R153=""),"",Q153+R153+U153)</f>
        <v/>
      </c>
      <c r="W153" s="23">
        <f>IF(O153="","",O153*(1-TaxaVenda))</f>
        <v/>
      </c>
      <c r="X153" s="26">
        <f>IF(OR(V153="",W153=""),"",W153-V153)</f>
        <v/>
      </c>
      <c r="Y153" s="27">
        <f>IF(X153="","",X153/V153)</f>
        <v/>
      </c>
    </row>
    <row r="154">
      <c r="A154" t="inlineStr">
        <is>
          <t>Guardião (Guardian)|Armadura|T4.0</t>
        </is>
      </c>
      <c r="B154" t="inlineStr">
        <is>
          <t>Guardião (Guardian)</t>
        </is>
      </c>
      <c r="C154" t="inlineStr">
        <is>
          <t>Armadura</t>
        </is>
      </c>
      <c r="D154" t="inlineStr">
        <is>
          <t>T4.0</t>
        </is>
      </c>
      <c r="E154" t="n">
        <v>4</v>
      </c>
      <c r="F154" t="n">
        <v>0</v>
      </c>
      <c r="G154" t="n">
        <v>16</v>
      </c>
      <c r="H154" s="22" t="n"/>
      <c r="I154" s="22" t="n"/>
      <c r="J154" s="22" t="n"/>
      <c r="K154" s="22" t="n"/>
      <c r="L154" s="22" t="n"/>
      <c r="M154" s="22" t="n"/>
      <c r="N154" s="22" t="n"/>
      <c r="O154" s="23">
        <f>IF(COUNT(H154:N154)=0,"",MAX(H154:N154))</f>
        <v/>
      </c>
      <c r="P154" s="24">
        <f>IF(O154="","",INDEX($H$3:$N$3,MATCH(O154,H154:N154,0)))</f>
        <v/>
      </c>
      <c r="Q154" s="23">
        <f>IF(Refino!$L$5="","",G154*Refino!$L$5*(1-RetCraft))</f>
        <v/>
      </c>
      <c r="R154" t="n">
        <v>0</v>
      </c>
      <c r="S154" t="inlineStr">
        <is>
          <t>-</t>
        </is>
      </c>
      <c r="T154" s="25">
        <f>G154*Refino!$D$5</f>
        <v/>
      </c>
      <c r="U154" s="25">
        <f>T154*0.1125*FeeCraft/100</f>
        <v/>
      </c>
      <c r="V154" s="23">
        <f>IF(OR(Q154="",R154=""),"",Q154+R154+U154)</f>
        <v/>
      </c>
      <c r="W154" s="23">
        <f>IF(O154="","",O154*(1-TaxaVenda))</f>
        <v/>
      </c>
      <c r="X154" s="26">
        <f>IF(OR(V154="",W154=""),"",W154-V154)</f>
        <v/>
      </c>
      <c r="Y154" s="27">
        <f>IF(X154="","",X154/V154)</f>
        <v/>
      </c>
    </row>
    <row r="155">
      <c r="A155" t="inlineStr">
        <is>
          <t>Guardião (Guardian)|Armadura|T4.1</t>
        </is>
      </c>
      <c r="B155" t="inlineStr">
        <is>
          <t>Guardião (Guardian)</t>
        </is>
      </c>
      <c r="C155" t="inlineStr">
        <is>
          <t>Armadura</t>
        </is>
      </c>
      <c r="D155" t="inlineStr">
        <is>
          <t>T4.1</t>
        </is>
      </c>
      <c r="E155" t="n">
        <v>4</v>
      </c>
      <c r="F155" t="n">
        <v>1</v>
      </c>
      <c r="G155" t="n">
        <v>16</v>
      </c>
      <c r="H155" s="22" t="n"/>
      <c r="I155" s="22" t="n"/>
      <c r="J155" s="22" t="n"/>
      <c r="K155" s="22" t="n"/>
      <c r="L155" s="22" t="n"/>
      <c r="M155" s="22" t="n"/>
      <c r="N155" s="22" t="n"/>
      <c r="O155" s="23">
        <f>IF(COUNT(H155:N155)=0,"",MAX(H155:N155))</f>
        <v/>
      </c>
      <c r="P155" s="24">
        <f>IF(O155="","",INDEX($H$3:$N$3,MATCH(O155,H155:N155,0)))</f>
        <v/>
      </c>
      <c r="Q155" s="23">
        <f>IF(Refino!$L$6="","",G155*Refino!$L$6*(1-RetCraft))</f>
        <v/>
      </c>
      <c r="R155" t="n">
        <v>0</v>
      </c>
      <c r="S155" t="inlineStr">
        <is>
          <t>-</t>
        </is>
      </c>
      <c r="T155" s="25">
        <f>G155*Refino!$D$6</f>
        <v/>
      </c>
      <c r="U155" s="25">
        <f>T155*0.1125*FeeCraft/100</f>
        <v/>
      </c>
      <c r="V155" s="23">
        <f>IF(OR(Q155="",R155=""),"",Q155+R155+U155)</f>
        <v/>
      </c>
      <c r="W155" s="23">
        <f>IF(O155="","",O155*(1-TaxaVenda))</f>
        <v/>
      </c>
      <c r="X155" s="26">
        <f>IF(OR(V155="",W155=""),"",W155-V155)</f>
        <v/>
      </c>
      <c r="Y155" s="27">
        <f>IF(X155="","",X155/V155)</f>
        <v/>
      </c>
    </row>
    <row r="156">
      <c r="A156" t="inlineStr">
        <is>
          <t>Guardião (Guardian)|Armadura|T4.2</t>
        </is>
      </c>
      <c r="B156" t="inlineStr">
        <is>
          <t>Guardião (Guardian)</t>
        </is>
      </c>
      <c r="C156" t="inlineStr">
        <is>
          <t>Armadura</t>
        </is>
      </c>
      <c r="D156" t="inlineStr">
        <is>
          <t>T4.2</t>
        </is>
      </c>
      <c r="E156" t="n">
        <v>4</v>
      </c>
      <c r="F156" t="n">
        <v>2</v>
      </c>
      <c r="G156" t="n">
        <v>16</v>
      </c>
      <c r="H156" s="22" t="n"/>
      <c r="I156" s="22" t="n"/>
      <c r="J156" s="22" t="n"/>
      <c r="K156" s="22" t="n"/>
      <c r="L156" s="22" t="n"/>
      <c r="M156" s="22" t="n"/>
      <c r="N156" s="22" t="n"/>
      <c r="O156" s="23">
        <f>IF(COUNT(H156:N156)=0,"",MAX(H156:N156))</f>
        <v/>
      </c>
      <c r="P156" s="24">
        <f>IF(O156="","",INDEX($H$3:$N$3,MATCH(O156,H156:N156,0)))</f>
        <v/>
      </c>
      <c r="Q156" s="23">
        <f>IF(Refino!$L$7="","",G156*Refino!$L$7*(1-RetCraft))</f>
        <v/>
      </c>
      <c r="R156" t="n">
        <v>0</v>
      </c>
      <c r="S156" t="inlineStr">
        <is>
          <t>-</t>
        </is>
      </c>
      <c r="T156" s="25">
        <f>G156*Refino!$D$7</f>
        <v/>
      </c>
      <c r="U156" s="25">
        <f>T156*0.1125*FeeCraft/100</f>
        <v/>
      </c>
      <c r="V156" s="23">
        <f>IF(OR(Q156="",R156=""),"",Q156+R156+U156)</f>
        <v/>
      </c>
      <c r="W156" s="23">
        <f>IF(O156="","",O156*(1-TaxaVenda))</f>
        <v/>
      </c>
      <c r="X156" s="26">
        <f>IF(OR(V156="",W156=""),"",W156-V156)</f>
        <v/>
      </c>
      <c r="Y156" s="27">
        <f>IF(X156="","",X156/V156)</f>
        <v/>
      </c>
    </row>
    <row r="157">
      <c r="A157" t="inlineStr">
        <is>
          <t>Guardião (Guardian)|Armadura|T4.3</t>
        </is>
      </c>
      <c r="B157" t="inlineStr">
        <is>
          <t>Guardião (Guardian)</t>
        </is>
      </c>
      <c r="C157" t="inlineStr">
        <is>
          <t>Armadura</t>
        </is>
      </c>
      <c r="D157" t="inlineStr">
        <is>
          <t>T4.3</t>
        </is>
      </c>
      <c r="E157" t="n">
        <v>4</v>
      </c>
      <c r="F157" t="n">
        <v>3</v>
      </c>
      <c r="G157" t="n">
        <v>16</v>
      </c>
      <c r="H157" s="22" t="n"/>
      <c r="I157" s="22" t="n"/>
      <c r="J157" s="22" t="n"/>
      <c r="K157" s="22" t="n"/>
      <c r="L157" s="22" t="n"/>
      <c r="M157" s="22" t="n"/>
      <c r="N157" s="22" t="n"/>
      <c r="O157" s="23">
        <f>IF(COUNT(H157:N157)=0,"",MAX(H157:N157))</f>
        <v/>
      </c>
      <c r="P157" s="24">
        <f>IF(O157="","",INDEX($H$3:$N$3,MATCH(O157,H157:N157,0)))</f>
        <v/>
      </c>
      <c r="Q157" s="23">
        <f>IF(Refino!$L$8="","",G157*Refino!$L$8*(1-RetCraft))</f>
        <v/>
      </c>
      <c r="R157" t="n">
        <v>0</v>
      </c>
      <c r="S157" t="inlineStr">
        <is>
          <t>-</t>
        </is>
      </c>
      <c r="T157" s="25">
        <f>G157*Refino!$D$8</f>
        <v/>
      </c>
      <c r="U157" s="25">
        <f>T157*0.1125*FeeCraft/100</f>
        <v/>
      </c>
      <c r="V157" s="23">
        <f>IF(OR(Q157="",R157=""),"",Q157+R157+U157)</f>
        <v/>
      </c>
      <c r="W157" s="23">
        <f>IF(O157="","",O157*(1-TaxaVenda))</f>
        <v/>
      </c>
      <c r="X157" s="26">
        <f>IF(OR(V157="",W157=""),"",W157-V157)</f>
        <v/>
      </c>
      <c r="Y157" s="27">
        <f>IF(X157="","",X157/V157)</f>
        <v/>
      </c>
    </row>
    <row r="158">
      <c r="A158" t="inlineStr">
        <is>
          <t>Guardião (Guardian)|Armadura|T4.4</t>
        </is>
      </c>
      <c r="B158" t="inlineStr">
        <is>
          <t>Guardião (Guardian)</t>
        </is>
      </c>
      <c r="C158" t="inlineStr">
        <is>
          <t>Armadura</t>
        </is>
      </c>
      <c r="D158" t="inlineStr">
        <is>
          <t>T4.4</t>
        </is>
      </c>
      <c r="E158" t="n">
        <v>4</v>
      </c>
      <c r="F158" t="n">
        <v>4</v>
      </c>
      <c r="G158" t="n">
        <v>16</v>
      </c>
      <c r="H158" s="22" t="n"/>
      <c r="I158" s="22" t="n"/>
      <c r="J158" s="22" t="n"/>
      <c r="K158" s="22" t="n"/>
      <c r="L158" s="22" t="n"/>
      <c r="M158" s="22" t="n"/>
      <c r="N158" s="22" t="n"/>
      <c r="O158" s="23">
        <f>IF(COUNT(H158:N158)=0,"",MAX(H158:N158))</f>
        <v/>
      </c>
      <c r="P158" s="24">
        <f>IF(O158="","",INDEX($H$3:$N$3,MATCH(O158,H158:N158,0)))</f>
        <v/>
      </c>
      <c r="Q158" s="23">
        <f>IF(Refino!$L$9="","",G158*Refino!$L$9*(1-RetCraft))</f>
        <v/>
      </c>
      <c r="R158" t="n">
        <v>0</v>
      </c>
      <c r="S158" t="inlineStr">
        <is>
          <t>-</t>
        </is>
      </c>
      <c r="T158" s="25">
        <f>G158*Refino!$D$9</f>
        <v/>
      </c>
      <c r="U158" s="25">
        <f>T158*0.1125*FeeCraft/100</f>
        <v/>
      </c>
      <c r="V158" s="23">
        <f>IF(OR(Q158="",R158=""),"",Q158+R158+U158)</f>
        <v/>
      </c>
      <c r="W158" s="23">
        <f>IF(O158="","",O158*(1-TaxaVenda))</f>
        <v/>
      </c>
      <c r="X158" s="26">
        <f>IF(OR(V158="",W158=""),"",W158-V158)</f>
        <v/>
      </c>
      <c r="Y158" s="27">
        <f>IF(X158="","",X158/V158)</f>
        <v/>
      </c>
    </row>
    <row r="159">
      <c r="A159" t="inlineStr">
        <is>
          <t>Guardião (Guardian)|Armadura|T5.0</t>
        </is>
      </c>
      <c r="B159" t="inlineStr">
        <is>
          <t>Guardião (Guardian)</t>
        </is>
      </c>
      <c r="C159" t="inlineStr">
        <is>
          <t>Armadura</t>
        </is>
      </c>
      <c r="D159" t="inlineStr">
        <is>
          <t>T5.0</t>
        </is>
      </c>
      <c r="E159" t="n">
        <v>5</v>
      </c>
      <c r="F159" t="n">
        <v>0</v>
      </c>
      <c r="G159" t="n">
        <v>16</v>
      </c>
      <c r="H159" s="22" t="n"/>
      <c r="I159" s="22" t="n"/>
      <c r="J159" s="22" t="n"/>
      <c r="K159" s="22" t="n"/>
      <c r="L159" s="22" t="n"/>
      <c r="M159" s="22" t="n"/>
      <c r="N159" s="22" t="n"/>
      <c r="O159" s="23">
        <f>IF(COUNT(H159:N159)=0,"",MAX(H159:N159))</f>
        <v/>
      </c>
      <c r="P159" s="24">
        <f>IF(O159="","",INDEX($H$3:$N$3,MATCH(O159,H159:N159,0)))</f>
        <v/>
      </c>
      <c r="Q159" s="23">
        <f>IF(Refino!$L$10="","",G159*Refino!$L$10*(1-RetCraft))</f>
        <v/>
      </c>
      <c r="R159" t="n">
        <v>0</v>
      </c>
      <c r="S159" t="inlineStr">
        <is>
          <t>-</t>
        </is>
      </c>
      <c r="T159" s="25">
        <f>G159*Refino!$D$10</f>
        <v/>
      </c>
      <c r="U159" s="25">
        <f>T159*0.1125*FeeCraft/100</f>
        <v/>
      </c>
      <c r="V159" s="23">
        <f>IF(OR(Q159="",R159=""),"",Q159+R159+U159)</f>
        <v/>
      </c>
      <c r="W159" s="23">
        <f>IF(O159="","",O159*(1-TaxaVenda))</f>
        <v/>
      </c>
      <c r="X159" s="26">
        <f>IF(OR(V159="",W159=""),"",W159-V159)</f>
        <v/>
      </c>
      <c r="Y159" s="27">
        <f>IF(X159="","",X159/V159)</f>
        <v/>
      </c>
    </row>
    <row r="160">
      <c r="A160" t="inlineStr">
        <is>
          <t>Guardião (Guardian)|Armadura|T5.1</t>
        </is>
      </c>
      <c r="B160" t="inlineStr">
        <is>
          <t>Guardião (Guardian)</t>
        </is>
      </c>
      <c r="C160" t="inlineStr">
        <is>
          <t>Armadura</t>
        </is>
      </c>
      <c r="D160" t="inlineStr">
        <is>
          <t>T5.1</t>
        </is>
      </c>
      <c r="E160" t="n">
        <v>5</v>
      </c>
      <c r="F160" t="n">
        <v>1</v>
      </c>
      <c r="G160" t="n">
        <v>16</v>
      </c>
      <c r="H160" s="22" t="n"/>
      <c r="I160" s="22" t="n"/>
      <c r="J160" s="22" t="n"/>
      <c r="K160" s="22" t="n"/>
      <c r="L160" s="22" t="n"/>
      <c r="M160" s="22" t="n"/>
      <c r="N160" s="22" t="n"/>
      <c r="O160" s="23">
        <f>IF(COUNT(H160:N160)=0,"",MAX(H160:N160))</f>
        <v/>
      </c>
      <c r="P160" s="24">
        <f>IF(O160="","",INDEX($H$3:$N$3,MATCH(O160,H160:N160,0)))</f>
        <v/>
      </c>
      <c r="Q160" s="23">
        <f>IF(Refino!$L$11="","",G160*Refino!$L$11*(1-RetCraft))</f>
        <v/>
      </c>
      <c r="R160" t="n">
        <v>0</v>
      </c>
      <c r="S160" t="inlineStr">
        <is>
          <t>-</t>
        </is>
      </c>
      <c r="T160" s="25">
        <f>G160*Refino!$D$11</f>
        <v/>
      </c>
      <c r="U160" s="25">
        <f>T160*0.1125*FeeCraft/100</f>
        <v/>
      </c>
      <c r="V160" s="23">
        <f>IF(OR(Q160="",R160=""),"",Q160+R160+U160)</f>
        <v/>
      </c>
      <c r="W160" s="23">
        <f>IF(O160="","",O160*(1-TaxaVenda))</f>
        <v/>
      </c>
      <c r="X160" s="26">
        <f>IF(OR(V160="",W160=""),"",W160-V160)</f>
        <v/>
      </c>
      <c r="Y160" s="27">
        <f>IF(X160="","",X160/V160)</f>
        <v/>
      </c>
    </row>
    <row r="161">
      <c r="A161" t="inlineStr">
        <is>
          <t>Guardião (Guardian)|Armadura|T5.2</t>
        </is>
      </c>
      <c r="B161" t="inlineStr">
        <is>
          <t>Guardião (Guardian)</t>
        </is>
      </c>
      <c r="C161" t="inlineStr">
        <is>
          <t>Armadura</t>
        </is>
      </c>
      <c r="D161" t="inlineStr">
        <is>
          <t>T5.2</t>
        </is>
      </c>
      <c r="E161" t="n">
        <v>5</v>
      </c>
      <c r="F161" t="n">
        <v>2</v>
      </c>
      <c r="G161" t="n">
        <v>16</v>
      </c>
      <c r="H161" s="22" t="n"/>
      <c r="I161" s="22" t="n"/>
      <c r="J161" s="22" t="n"/>
      <c r="K161" s="22" t="n"/>
      <c r="L161" s="22" t="n"/>
      <c r="M161" s="22" t="n"/>
      <c r="N161" s="22" t="n"/>
      <c r="O161" s="23">
        <f>IF(COUNT(H161:N161)=0,"",MAX(H161:N161))</f>
        <v/>
      </c>
      <c r="P161" s="24">
        <f>IF(O161="","",INDEX($H$3:$N$3,MATCH(O161,H161:N161,0)))</f>
        <v/>
      </c>
      <c r="Q161" s="23">
        <f>IF(Refino!$L$12="","",G161*Refino!$L$12*(1-RetCraft))</f>
        <v/>
      </c>
      <c r="R161" t="n">
        <v>0</v>
      </c>
      <c r="S161" t="inlineStr">
        <is>
          <t>-</t>
        </is>
      </c>
      <c r="T161" s="25">
        <f>G161*Refino!$D$12</f>
        <v/>
      </c>
      <c r="U161" s="25">
        <f>T161*0.1125*FeeCraft/100</f>
        <v/>
      </c>
      <c r="V161" s="23">
        <f>IF(OR(Q161="",R161=""),"",Q161+R161+U161)</f>
        <v/>
      </c>
      <c r="W161" s="23">
        <f>IF(O161="","",O161*(1-TaxaVenda))</f>
        <v/>
      </c>
      <c r="X161" s="26">
        <f>IF(OR(V161="",W161=""),"",W161-V161)</f>
        <v/>
      </c>
      <c r="Y161" s="27">
        <f>IF(X161="","",X161/V161)</f>
        <v/>
      </c>
    </row>
    <row r="162">
      <c r="A162" t="inlineStr">
        <is>
          <t>Guardião (Guardian)|Armadura|T5.3</t>
        </is>
      </c>
      <c r="B162" t="inlineStr">
        <is>
          <t>Guardião (Guardian)</t>
        </is>
      </c>
      <c r="C162" t="inlineStr">
        <is>
          <t>Armadura</t>
        </is>
      </c>
      <c r="D162" t="inlineStr">
        <is>
          <t>T5.3</t>
        </is>
      </c>
      <c r="E162" t="n">
        <v>5</v>
      </c>
      <c r="F162" t="n">
        <v>3</v>
      </c>
      <c r="G162" t="n">
        <v>16</v>
      </c>
      <c r="H162" s="22" t="n"/>
      <c r="I162" s="22" t="n"/>
      <c r="J162" s="22" t="n"/>
      <c r="K162" s="22" t="n"/>
      <c r="L162" s="22" t="n"/>
      <c r="M162" s="22" t="n"/>
      <c r="N162" s="22" t="n"/>
      <c r="O162" s="23">
        <f>IF(COUNT(H162:N162)=0,"",MAX(H162:N162))</f>
        <v/>
      </c>
      <c r="P162" s="24">
        <f>IF(O162="","",INDEX($H$3:$N$3,MATCH(O162,H162:N162,0)))</f>
        <v/>
      </c>
      <c r="Q162" s="23">
        <f>IF(Refino!$L$13="","",G162*Refino!$L$13*(1-RetCraft))</f>
        <v/>
      </c>
      <c r="R162" t="n">
        <v>0</v>
      </c>
      <c r="S162" t="inlineStr">
        <is>
          <t>-</t>
        </is>
      </c>
      <c r="T162" s="25">
        <f>G162*Refino!$D$13</f>
        <v/>
      </c>
      <c r="U162" s="25">
        <f>T162*0.1125*FeeCraft/100</f>
        <v/>
      </c>
      <c r="V162" s="23">
        <f>IF(OR(Q162="",R162=""),"",Q162+R162+U162)</f>
        <v/>
      </c>
      <c r="W162" s="23">
        <f>IF(O162="","",O162*(1-TaxaVenda))</f>
        <v/>
      </c>
      <c r="X162" s="26">
        <f>IF(OR(V162="",W162=""),"",W162-V162)</f>
        <v/>
      </c>
      <c r="Y162" s="27">
        <f>IF(X162="","",X162/V162)</f>
        <v/>
      </c>
    </row>
    <row r="163">
      <c r="A163" t="inlineStr">
        <is>
          <t>Guardião (Guardian)|Armadura|T5.4</t>
        </is>
      </c>
      <c r="B163" t="inlineStr">
        <is>
          <t>Guardião (Guardian)</t>
        </is>
      </c>
      <c r="C163" t="inlineStr">
        <is>
          <t>Armadura</t>
        </is>
      </c>
      <c r="D163" t="inlineStr">
        <is>
          <t>T5.4</t>
        </is>
      </c>
      <c r="E163" t="n">
        <v>5</v>
      </c>
      <c r="F163" t="n">
        <v>4</v>
      </c>
      <c r="G163" t="n">
        <v>16</v>
      </c>
      <c r="H163" s="22" t="n"/>
      <c r="I163" s="22" t="n"/>
      <c r="J163" s="22" t="n"/>
      <c r="K163" s="22" t="n"/>
      <c r="L163" s="22" t="n"/>
      <c r="M163" s="22" t="n"/>
      <c r="N163" s="22" t="n"/>
      <c r="O163" s="23">
        <f>IF(COUNT(H163:N163)=0,"",MAX(H163:N163))</f>
        <v/>
      </c>
      <c r="P163" s="24">
        <f>IF(O163="","",INDEX($H$3:$N$3,MATCH(O163,H163:N163,0)))</f>
        <v/>
      </c>
      <c r="Q163" s="23">
        <f>IF(Refino!$L$14="","",G163*Refino!$L$14*(1-RetCraft))</f>
        <v/>
      </c>
      <c r="R163" t="n">
        <v>0</v>
      </c>
      <c r="S163" t="inlineStr">
        <is>
          <t>-</t>
        </is>
      </c>
      <c r="T163" s="25">
        <f>G163*Refino!$D$14</f>
        <v/>
      </c>
      <c r="U163" s="25">
        <f>T163*0.1125*FeeCraft/100</f>
        <v/>
      </c>
      <c r="V163" s="23">
        <f>IF(OR(Q163="",R163=""),"",Q163+R163+U163)</f>
        <v/>
      </c>
      <c r="W163" s="23">
        <f>IF(O163="","",O163*(1-TaxaVenda))</f>
        <v/>
      </c>
      <c r="X163" s="26">
        <f>IF(OR(V163="",W163=""),"",W163-V163)</f>
        <v/>
      </c>
      <c r="Y163" s="27">
        <f>IF(X163="","",X163/V163)</f>
        <v/>
      </c>
    </row>
    <row r="164">
      <c r="A164" t="inlineStr">
        <is>
          <t>Guardião (Guardian)|Armadura|T6.0</t>
        </is>
      </c>
      <c r="B164" t="inlineStr">
        <is>
          <t>Guardião (Guardian)</t>
        </is>
      </c>
      <c r="C164" t="inlineStr">
        <is>
          <t>Armadura</t>
        </is>
      </c>
      <c r="D164" t="inlineStr">
        <is>
          <t>T6.0</t>
        </is>
      </c>
      <c r="E164" t="n">
        <v>6</v>
      </c>
      <c r="F164" t="n">
        <v>0</v>
      </c>
      <c r="G164" t="n">
        <v>16</v>
      </c>
      <c r="H164" s="22" t="n"/>
      <c r="I164" s="22" t="n"/>
      <c r="J164" s="22" t="n"/>
      <c r="K164" s="22" t="n"/>
      <c r="L164" s="22" t="n"/>
      <c r="M164" s="22" t="n"/>
      <c r="N164" s="22" t="n"/>
      <c r="O164" s="23">
        <f>IF(COUNT(H164:N164)=0,"",MAX(H164:N164))</f>
        <v/>
      </c>
      <c r="P164" s="24">
        <f>IF(O164="","",INDEX($H$3:$N$3,MATCH(O164,H164:N164,0)))</f>
        <v/>
      </c>
      <c r="Q164" s="23">
        <f>IF(Refino!$L$15="","",G164*Refino!$L$15*(1-RetCraft))</f>
        <v/>
      </c>
      <c r="R164" t="n">
        <v>0</v>
      </c>
      <c r="S164" t="inlineStr">
        <is>
          <t>-</t>
        </is>
      </c>
      <c r="T164" s="25">
        <f>G164*Refino!$D$15</f>
        <v/>
      </c>
      <c r="U164" s="25">
        <f>T164*0.1125*FeeCraft/100</f>
        <v/>
      </c>
      <c r="V164" s="23">
        <f>IF(OR(Q164="",R164=""),"",Q164+R164+U164)</f>
        <v/>
      </c>
      <c r="W164" s="23">
        <f>IF(O164="","",O164*(1-TaxaVenda))</f>
        <v/>
      </c>
      <c r="X164" s="26">
        <f>IF(OR(V164="",W164=""),"",W164-V164)</f>
        <v/>
      </c>
      <c r="Y164" s="27">
        <f>IF(X164="","",X164/V164)</f>
        <v/>
      </c>
    </row>
    <row r="165">
      <c r="A165" t="inlineStr">
        <is>
          <t>Guardião (Guardian)|Armadura|T6.1</t>
        </is>
      </c>
      <c r="B165" t="inlineStr">
        <is>
          <t>Guardião (Guardian)</t>
        </is>
      </c>
      <c r="C165" t="inlineStr">
        <is>
          <t>Armadura</t>
        </is>
      </c>
      <c r="D165" t="inlineStr">
        <is>
          <t>T6.1</t>
        </is>
      </c>
      <c r="E165" t="n">
        <v>6</v>
      </c>
      <c r="F165" t="n">
        <v>1</v>
      </c>
      <c r="G165" t="n">
        <v>16</v>
      </c>
      <c r="H165" s="22" t="n"/>
      <c r="I165" s="22" t="n"/>
      <c r="J165" s="22" t="n"/>
      <c r="K165" s="22" t="n"/>
      <c r="L165" s="22" t="n"/>
      <c r="M165" s="22" t="n"/>
      <c r="N165" s="22" t="n"/>
      <c r="O165" s="23">
        <f>IF(COUNT(H165:N165)=0,"",MAX(H165:N165))</f>
        <v/>
      </c>
      <c r="P165" s="24">
        <f>IF(O165="","",INDEX($H$3:$N$3,MATCH(O165,H165:N165,0)))</f>
        <v/>
      </c>
      <c r="Q165" s="23">
        <f>IF(Refino!$L$16="","",G165*Refino!$L$16*(1-RetCraft))</f>
        <v/>
      </c>
      <c r="R165" t="n">
        <v>0</v>
      </c>
      <c r="S165" t="inlineStr">
        <is>
          <t>-</t>
        </is>
      </c>
      <c r="T165" s="25">
        <f>G165*Refino!$D$16</f>
        <v/>
      </c>
      <c r="U165" s="25">
        <f>T165*0.1125*FeeCraft/100</f>
        <v/>
      </c>
      <c r="V165" s="23">
        <f>IF(OR(Q165="",R165=""),"",Q165+R165+U165)</f>
        <v/>
      </c>
      <c r="W165" s="23">
        <f>IF(O165="","",O165*(1-TaxaVenda))</f>
        <v/>
      </c>
      <c r="X165" s="26">
        <f>IF(OR(V165="",W165=""),"",W165-V165)</f>
        <v/>
      </c>
      <c r="Y165" s="27">
        <f>IF(X165="","",X165/V165)</f>
        <v/>
      </c>
    </row>
    <row r="166">
      <c r="A166" t="inlineStr">
        <is>
          <t>Guardião (Guardian)|Armadura|T6.2</t>
        </is>
      </c>
      <c r="B166" t="inlineStr">
        <is>
          <t>Guardião (Guardian)</t>
        </is>
      </c>
      <c r="C166" t="inlineStr">
        <is>
          <t>Armadura</t>
        </is>
      </c>
      <c r="D166" t="inlineStr">
        <is>
          <t>T6.2</t>
        </is>
      </c>
      <c r="E166" t="n">
        <v>6</v>
      </c>
      <c r="F166" t="n">
        <v>2</v>
      </c>
      <c r="G166" t="n">
        <v>16</v>
      </c>
      <c r="H166" s="22" t="n"/>
      <c r="I166" s="22" t="n"/>
      <c r="J166" s="22" t="n"/>
      <c r="K166" s="22" t="n"/>
      <c r="L166" s="22" t="n"/>
      <c r="M166" s="22" t="n"/>
      <c r="N166" s="22" t="n"/>
      <c r="O166" s="23">
        <f>IF(COUNT(H166:N166)=0,"",MAX(H166:N166))</f>
        <v/>
      </c>
      <c r="P166" s="24">
        <f>IF(O166="","",INDEX($H$3:$N$3,MATCH(O166,H166:N166,0)))</f>
        <v/>
      </c>
      <c r="Q166" s="23">
        <f>IF(Refino!$L$17="","",G166*Refino!$L$17*(1-RetCraft))</f>
        <v/>
      </c>
      <c r="R166" t="n">
        <v>0</v>
      </c>
      <c r="S166" t="inlineStr">
        <is>
          <t>-</t>
        </is>
      </c>
      <c r="T166" s="25">
        <f>G166*Refino!$D$17</f>
        <v/>
      </c>
      <c r="U166" s="25">
        <f>T166*0.1125*FeeCraft/100</f>
        <v/>
      </c>
      <c r="V166" s="23">
        <f>IF(OR(Q166="",R166=""),"",Q166+R166+U166)</f>
        <v/>
      </c>
      <c r="W166" s="23">
        <f>IF(O166="","",O166*(1-TaxaVenda))</f>
        <v/>
      </c>
      <c r="X166" s="26">
        <f>IF(OR(V166="",W166=""),"",W166-V166)</f>
        <v/>
      </c>
      <c r="Y166" s="27">
        <f>IF(X166="","",X166/V166)</f>
        <v/>
      </c>
    </row>
    <row r="167">
      <c r="A167" t="inlineStr">
        <is>
          <t>Guardião (Guardian)|Armadura|T6.3</t>
        </is>
      </c>
      <c r="B167" t="inlineStr">
        <is>
          <t>Guardião (Guardian)</t>
        </is>
      </c>
      <c r="C167" t="inlineStr">
        <is>
          <t>Armadura</t>
        </is>
      </c>
      <c r="D167" t="inlineStr">
        <is>
          <t>T6.3</t>
        </is>
      </c>
      <c r="E167" t="n">
        <v>6</v>
      </c>
      <c r="F167" t="n">
        <v>3</v>
      </c>
      <c r="G167" t="n">
        <v>16</v>
      </c>
      <c r="H167" s="22" t="n"/>
      <c r="I167" s="22" t="n"/>
      <c r="J167" s="22" t="n"/>
      <c r="K167" s="22" t="n"/>
      <c r="L167" s="22" t="n"/>
      <c r="M167" s="22" t="n"/>
      <c r="N167" s="22" t="n"/>
      <c r="O167" s="23">
        <f>IF(COUNT(H167:N167)=0,"",MAX(H167:N167))</f>
        <v/>
      </c>
      <c r="P167" s="24">
        <f>IF(O167="","",INDEX($H$3:$N$3,MATCH(O167,H167:N167,0)))</f>
        <v/>
      </c>
      <c r="Q167" s="23">
        <f>IF(Refino!$L$18="","",G167*Refino!$L$18*(1-RetCraft))</f>
        <v/>
      </c>
      <c r="R167" t="n">
        <v>0</v>
      </c>
      <c r="S167" t="inlineStr">
        <is>
          <t>-</t>
        </is>
      </c>
      <c r="T167" s="25">
        <f>G167*Refino!$D$18</f>
        <v/>
      </c>
      <c r="U167" s="25">
        <f>T167*0.1125*FeeCraft/100</f>
        <v/>
      </c>
      <c r="V167" s="23">
        <f>IF(OR(Q167="",R167=""),"",Q167+R167+U167)</f>
        <v/>
      </c>
      <c r="W167" s="23">
        <f>IF(O167="","",O167*(1-TaxaVenda))</f>
        <v/>
      </c>
      <c r="X167" s="26">
        <f>IF(OR(V167="",W167=""),"",W167-V167)</f>
        <v/>
      </c>
      <c r="Y167" s="27">
        <f>IF(X167="","",X167/V167)</f>
        <v/>
      </c>
    </row>
    <row r="168">
      <c r="A168" t="inlineStr">
        <is>
          <t>Guardião (Guardian)|Armadura|T6.4</t>
        </is>
      </c>
      <c r="B168" t="inlineStr">
        <is>
          <t>Guardião (Guardian)</t>
        </is>
      </c>
      <c r="C168" t="inlineStr">
        <is>
          <t>Armadura</t>
        </is>
      </c>
      <c r="D168" t="inlineStr">
        <is>
          <t>T6.4</t>
        </is>
      </c>
      <c r="E168" t="n">
        <v>6</v>
      </c>
      <c r="F168" t="n">
        <v>4</v>
      </c>
      <c r="G168" t="n">
        <v>16</v>
      </c>
      <c r="H168" s="22" t="n"/>
      <c r="I168" s="22" t="n"/>
      <c r="J168" s="22" t="n"/>
      <c r="K168" s="22" t="n"/>
      <c r="L168" s="22" t="n"/>
      <c r="M168" s="22" t="n"/>
      <c r="N168" s="22" t="n"/>
      <c r="O168" s="23">
        <f>IF(COUNT(H168:N168)=0,"",MAX(H168:N168))</f>
        <v/>
      </c>
      <c r="P168" s="24">
        <f>IF(O168="","",INDEX($H$3:$N$3,MATCH(O168,H168:N168,0)))</f>
        <v/>
      </c>
      <c r="Q168" s="23">
        <f>IF(Refino!$L$19="","",G168*Refino!$L$19*(1-RetCraft))</f>
        <v/>
      </c>
      <c r="R168" t="n">
        <v>0</v>
      </c>
      <c r="S168" t="inlineStr">
        <is>
          <t>-</t>
        </is>
      </c>
      <c r="T168" s="25">
        <f>G168*Refino!$D$19</f>
        <v/>
      </c>
      <c r="U168" s="25">
        <f>T168*0.1125*FeeCraft/100</f>
        <v/>
      </c>
      <c r="V168" s="23">
        <f>IF(OR(Q168="",R168=""),"",Q168+R168+U168)</f>
        <v/>
      </c>
      <c r="W168" s="23">
        <f>IF(O168="","",O168*(1-TaxaVenda))</f>
        <v/>
      </c>
      <c r="X168" s="26">
        <f>IF(OR(V168="",W168=""),"",W168-V168)</f>
        <v/>
      </c>
      <c r="Y168" s="27">
        <f>IF(X168="","",X168/V168)</f>
        <v/>
      </c>
    </row>
    <row r="169">
      <c r="A169" t="inlineStr">
        <is>
          <t>Guardião (Guardian)|Armadura|T7.0</t>
        </is>
      </c>
      <c r="B169" t="inlineStr">
        <is>
          <t>Guardião (Guardian)</t>
        </is>
      </c>
      <c r="C169" t="inlineStr">
        <is>
          <t>Armadura</t>
        </is>
      </c>
      <c r="D169" t="inlineStr">
        <is>
          <t>T7.0</t>
        </is>
      </c>
      <c r="E169" t="n">
        <v>7</v>
      </c>
      <c r="F169" t="n">
        <v>0</v>
      </c>
      <c r="G169" t="n">
        <v>16</v>
      </c>
      <c r="H169" s="22" t="n"/>
      <c r="I169" s="22" t="n"/>
      <c r="J169" s="22" t="n"/>
      <c r="K169" s="22" t="n"/>
      <c r="L169" s="22" t="n"/>
      <c r="M169" s="22" t="n"/>
      <c r="N169" s="22" t="n"/>
      <c r="O169" s="23">
        <f>IF(COUNT(H169:N169)=0,"",MAX(H169:N169))</f>
        <v/>
      </c>
      <c r="P169" s="24">
        <f>IF(O169="","",INDEX($H$3:$N$3,MATCH(O169,H169:N169,0)))</f>
        <v/>
      </c>
      <c r="Q169" s="23">
        <f>IF(Refino!$L$20="","",G169*Refino!$L$20*(1-RetCraft))</f>
        <v/>
      </c>
      <c r="R169" t="n">
        <v>0</v>
      </c>
      <c r="S169" t="inlineStr">
        <is>
          <t>-</t>
        </is>
      </c>
      <c r="T169" s="25">
        <f>G169*Refino!$D$20</f>
        <v/>
      </c>
      <c r="U169" s="25">
        <f>T169*0.1125*FeeCraft/100</f>
        <v/>
      </c>
      <c r="V169" s="23">
        <f>IF(OR(Q169="",R169=""),"",Q169+R169+U169)</f>
        <v/>
      </c>
      <c r="W169" s="23">
        <f>IF(O169="","",O169*(1-TaxaVenda))</f>
        <v/>
      </c>
      <c r="X169" s="26">
        <f>IF(OR(V169="",W169=""),"",W169-V169)</f>
        <v/>
      </c>
      <c r="Y169" s="27">
        <f>IF(X169="","",X169/V169)</f>
        <v/>
      </c>
    </row>
    <row r="170">
      <c r="A170" t="inlineStr">
        <is>
          <t>Guardião (Guardian)|Armadura|T7.1</t>
        </is>
      </c>
      <c r="B170" t="inlineStr">
        <is>
          <t>Guardião (Guardian)</t>
        </is>
      </c>
      <c r="C170" t="inlineStr">
        <is>
          <t>Armadura</t>
        </is>
      </c>
      <c r="D170" t="inlineStr">
        <is>
          <t>T7.1</t>
        </is>
      </c>
      <c r="E170" t="n">
        <v>7</v>
      </c>
      <c r="F170" t="n">
        <v>1</v>
      </c>
      <c r="G170" t="n">
        <v>16</v>
      </c>
      <c r="H170" s="22" t="n"/>
      <c r="I170" s="22" t="n"/>
      <c r="J170" s="22" t="n"/>
      <c r="K170" s="22" t="n"/>
      <c r="L170" s="22" t="n"/>
      <c r="M170" s="22" t="n"/>
      <c r="N170" s="22" t="n"/>
      <c r="O170" s="23">
        <f>IF(COUNT(H170:N170)=0,"",MAX(H170:N170))</f>
        <v/>
      </c>
      <c r="P170" s="24">
        <f>IF(O170="","",INDEX($H$3:$N$3,MATCH(O170,H170:N170,0)))</f>
        <v/>
      </c>
      <c r="Q170" s="23">
        <f>IF(Refino!$L$21="","",G170*Refino!$L$21*(1-RetCraft))</f>
        <v/>
      </c>
      <c r="R170" t="n">
        <v>0</v>
      </c>
      <c r="S170" t="inlineStr">
        <is>
          <t>-</t>
        </is>
      </c>
      <c r="T170" s="25">
        <f>G170*Refino!$D$21</f>
        <v/>
      </c>
      <c r="U170" s="25">
        <f>T170*0.1125*FeeCraft/100</f>
        <v/>
      </c>
      <c r="V170" s="23">
        <f>IF(OR(Q170="",R170=""),"",Q170+R170+U170)</f>
        <v/>
      </c>
      <c r="W170" s="23">
        <f>IF(O170="","",O170*(1-TaxaVenda))</f>
        <v/>
      </c>
      <c r="X170" s="26">
        <f>IF(OR(V170="",W170=""),"",W170-V170)</f>
        <v/>
      </c>
      <c r="Y170" s="27">
        <f>IF(X170="","",X170/V170)</f>
        <v/>
      </c>
    </row>
    <row r="171">
      <c r="A171" t="inlineStr">
        <is>
          <t>Guardião (Guardian)|Armadura|T7.2</t>
        </is>
      </c>
      <c r="B171" t="inlineStr">
        <is>
          <t>Guardião (Guardian)</t>
        </is>
      </c>
      <c r="C171" t="inlineStr">
        <is>
          <t>Armadura</t>
        </is>
      </c>
      <c r="D171" t="inlineStr">
        <is>
          <t>T7.2</t>
        </is>
      </c>
      <c r="E171" t="n">
        <v>7</v>
      </c>
      <c r="F171" t="n">
        <v>2</v>
      </c>
      <c r="G171" t="n">
        <v>16</v>
      </c>
      <c r="H171" s="22" t="n"/>
      <c r="I171" s="22" t="n"/>
      <c r="J171" s="22" t="n"/>
      <c r="K171" s="22" t="n"/>
      <c r="L171" s="22" t="n"/>
      <c r="M171" s="22" t="n"/>
      <c r="N171" s="22" t="n"/>
      <c r="O171" s="23">
        <f>IF(COUNT(H171:N171)=0,"",MAX(H171:N171))</f>
        <v/>
      </c>
      <c r="P171" s="24">
        <f>IF(O171="","",INDEX($H$3:$N$3,MATCH(O171,H171:N171,0)))</f>
        <v/>
      </c>
      <c r="Q171" s="23">
        <f>IF(Refino!$L$22="","",G171*Refino!$L$22*(1-RetCraft))</f>
        <v/>
      </c>
      <c r="R171" t="n">
        <v>0</v>
      </c>
      <c r="S171" t="inlineStr">
        <is>
          <t>-</t>
        </is>
      </c>
      <c r="T171" s="25">
        <f>G171*Refino!$D$22</f>
        <v/>
      </c>
      <c r="U171" s="25">
        <f>T171*0.1125*FeeCraft/100</f>
        <v/>
      </c>
      <c r="V171" s="23">
        <f>IF(OR(Q171="",R171=""),"",Q171+R171+U171)</f>
        <v/>
      </c>
      <c r="W171" s="23">
        <f>IF(O171="","",O171*(1-TaxaVenda))</f>
        <v/>
      </c>
      <c r="X171" s="26">
        <f>IF(OR(V171="",W171=""),"",W171-V171)</f>
        <v/>
      </c>
      <c r="Y171" s="27">
        <f>IF(X171="","",X171/V171)</f>
        <v/>
      </c>
    </row>
    <row r="172">
      <c r="A172" t="inlineStr">
        <is>
          <t>Guardião (Guardian)|Armadura|T7.3</t>
        </is>
      </c>
      <c r="B172" t="inlineStr">
        <is>
          <t>Guardião (Guardian)</t>
        </is>
      </c>
      <c r="C172" t="inlineStr">
        <is>
          <t>Armadura</t>
        </is>
      </c>
      <c r="D172" t="inlineStr">
        <is>
          <t>T7.3</t>
        </is>
      </c>
      <c r="E172" t="n">
        <v>7</v>
      </c>
      <c r="F172" t="n">
        <v>3</v>
      </c>
      <c r="G172" t="n">
        <v>16</v>
      </c>
      <c r="H172" s="22" t="n"/>
      <c r="I172" s="22" t="n"/>
      <c r="J172" s="22" t="n"/>
      <c r="K172" s="22" t="n"/>
      <c r="L172" s="22" t="n"/>
      <c r="M172" s="22" t="n"/>
      <c r="N172" s="22" t="n"/>
      <c r="O172" s="23">
        <f>IF(COUNT(H172:N172)=0,"",MAX(H172:N172))</f>
        <v/>
      </c>
      <c r="P172" s="24">
        <f>IF(O172="","",INDEX($H$3:$N$3,MATCH(O172,H172:N172,0)))</f>
        <v/>
      </c>
      <c r="Q172" s="23">
        <f>IF(Refino!$L$23="","",G172*Refino!$L$23*(1-RetCraft))</f>
        <v/>
      </c>
      <c r="R172" t="n">
        <v>0</v>
      </c>
      <c r="S172" t="inlineStr">
        <is>
          <t>-</t>
        </is>
      </c>
      <c r="T172" s="25">
        <f>G172*Refino!$D$23</f>
        <v/>
      </c>
      <c r="U172" s="25">
        <f>T172*0.1125*FeeCraft/100</f>
        <v/>
      </c>
      <c r="V172" s="23">
        <f>IF(OR(Q172="",R172=""),"",Q172+R172+U172)</f>
        <v/>
      </c>
      <c r="W172" s="23">
        <f>IF(O172="","",O172*(1-TaxaVenda))</f>
        <v/>
      </c>
      <c r="X172" s="26">
        <f>IF(OR(V172="",W172=""),"",W172-V172)</f>
        <v/>
      </c>
      <c r="Y172" s="27">
        <f>IF(X172="","",X172/V172)</f>
        <v/>
      </c>
    </row>
    <row r="173">
      <c r="A173" t="inlineStr">
        <is>
          <t>Guardião (Guardian)|Armadura|T7.4</t>
        </is>
      </c>
      <c r="B173" t="inlineStr">
        <is>
          <t>Guardião (Guardian)</t>
        </is>
      </c>
      <c r="C173" t="inlineStr">
        <is>
          <t>Armadura</t>
        </is>
      </c>
      <c r="D173" t="inlineStr">
        <is>
          <t>T7.4</t>
        </is>
      </c>
      <c r="E173" t="n">
        <v>7</v>
      </c>
      <c r="F173" t="n">
        <v>4</v>
      </c>
      <c r="G173" t="n">
        <v>16</v>
      </c>
      <c r="H173" s="22" t="n"/>
      <c r="I173" s="22" t="n"/>
      <c r="J173" s="22" t="n"/>
      <c r="K173" s="22" t="n"/>
      <c r="L173" s="22" t="n"/>
      <c r="M173" s="22" t="n"/>
      <c r="N173" s="22" t="n"/>
      <c r="O173" s="23">
        <f>IF(COUNT(H173:N173)=0,"",MAX(H173:N173))</f>
        <v/>
      </c>
      <c r="P173" s="24">
        <f>IF(O173="","",INDEX($H$3:$N$3,MATCH(O173,H173:N173,0)))</f>
        <v/>
      </c>
      <c r="Q173" s="23">
        <f>IF(Refino!$L$24="","",G173*Refino!$L$24*(1-RetCraft))</f>
        <v/>
      </c>
      <c r="R173" t="n">
        <v>0</v>
      </c>
      <c r="S173" t="inlineStr">
        <is>
          <t>-</t>
        </is>
      </c>
      <c r="T173" s="25">
        <f>G173*Refino!$D$24</f>
        <v/>
      </c>
      <c r="U173" s="25">
        <f>T173*0.1125*FeeCraft/100</f>
        <v/>
      </c>
      <c r="V173" s="23">
        <f>IF(OR(Q173="",R173=""),"",Q173+R173+U173)</f>
        <v/>
      </c>
      <c r="W173" s="23">
        <f>IF(O173="","",O173*(1-TaxaVenda))</f>
        <v/>
      </c>
      <c r="X173" s="26">
        <f>IF(OR(V173="",W173=""),"",W173-V173)</f>
        <v/>
      </c>
      <c r="Y173" s="27">
        <f>IF(X173="","",X173/V173)</f>
        <v/>
      </c>
    </row>
    <row r="174">
      <c r="A174" t="inlineStr">
        <is>
          <t>Guardião (Guardian)|Armadura|T8.0</t>
        </is>
      </c>
      <c r="B174" t="inlineStr">
        <is>
          <t>Guardião (Guardian)</t>
        </is>
      </c>
      <c r="C174" t="inlineStr">
        <is>
          <t>Armadura</t>
        </is>
      </c>
      <c r="D174" t="inlineStr">
        <is>
          <t>T8.0</t>
        </is>
      </c>
      <c r="E174" t="n">
        <v>8</v>
      </c>
      <c r="F174" t="n">
        <v>0</v>
      </c>
      <c r="G174" t="n">
        <v>16</v>
      </c>
      <c r="H174" s="22" t="n"/>
      <c r="I174" s="22" t="n"/>
      <c r="J174" s="22" t="n"/>
      <c r="K174" s="22" t="n"/>
      <c r="L174" s="22" t="n"/>
      <c r="M174" s="22" t="n"/>
      <c r="N174" s="22" t="n"/>
      <c r="O174" s="23">
        <f>IF(COUNT(H174:N174)=0,"",MAX(H174:N174))</f>
        <v/>
      </c>
      <c r="P174" s="24">
        <f>IF(O174="","",INDEX($H$3:$N$3,MATCH(O174,H174:N174,0)))</f>
        <v/>
      </c>
      <c r="Q174" s="23">
        <f>IF(Refino!$L$25="","",G174*Refino!$L$25*(1-RetCraft))</f>
        <v/>
      </c>
      <c r="R174" t="n">
        <v>0</v>
      </c>
      <c r="S174" t="inlineStr">
        <is>
          <t>-</t>
        </is>
      </c>
      <c r="T174" s="25">
        <f>G174*Refino!$D$25</f>
        <v/>
      </c>
      <c r="U174" s="25">
        <f>T174*0.1125*FeeCraft/100</f>
        <v/>
      </c>
      <c r="V174" s="23">
        <f>IF(OR(Q174="",R174=""),"",Q174+R174+U174)</f>
        <v/>
      </c>
      <c r="W174" s="23">
        <f>IF(O174="","",O174*(1-TaxaVenda))</f>
        <v/>
      </c>
      <c r="X174" s="26">
        <f>IF(OR(V174="",W174=""),"",W174-V174)</f>
        <v/>
      </c>
      <c r="Y174" s="27">
        <f>IF(X174="","",X174/V174)</f>
        <v/>
      </c>
    </row>
    <row r="175">
      <c r="A175" t="inlineStr">
        <is>
          <t>Guardião (Guardian)|Armadura|T8.1</t>
        </is>
      </c>
      <c r="B175" t="inlineStr">
        <is>
          <t>Guardião (Guardian)</t>
        </is>
      </c>
      <c r="C175" t="inlineStr">
        <is>
          <t>Armadura</t>
        </is>
      </c>
      <c r="D175" t="inlineStr">
        <is>
          <t>T8.1</t>
        </is>
      </c>
      <c r="E175" t="n">
        <v>8</v>
      </c>
      <c r="F175" t="n">
        <v>1</v>
      </c>
      <c r="G175" t="n">
        <v>16</v>
      </c>
      <c r="H175" s="22" t="n"/>
      <c r="I175" s="22" t="n"/>
      <c r="J175" s="22" t="n"/>
      <c r="K175" s="22" t="n"/>
      <c r="L175" s="22" t="n"/>
      <c r="M175" s="22" t="n"/>
      <c r="N175" s="22" t="n"/>
      <c r="O175" s="23">
        <f>IF(COUNT(H175:N175)=0,"",MAX(H175:N175))</f>
        <v/>
      </c>
      <c r="P175" s="24">
        <f>IF(O175="","",INDEX($H$3:$N$3,MATCH(O175,H175:N175,0)))</f>
        <v/>
      </c>
      <c r="Q175" s="23">
        <f>IF(Refino!$L$26="","",G175*Refino!$L$26*(1-RetCraft))</f>
        <v/>
      </c>
      <c r="R175" t="n">
        <v>0</v>
      </c>
      <c r="S175" t="inlineStr">
        <is>
          <t>-</t>
        </is>
      </c>
      <c r="T175" s="25">
        <f>G175*Refino!$D$26</f>
        <v/>
      </c>
      <c r="U175" s="25">
        <f>T175*0.1125*FeeCraft/100</f>
        <v/>
      </c>
      <c r="V175" s="23">
        <f>IF(OR(Q175="",R175=""),"",Q175+R175+U175)</f>
        <v/>
      </c>
      <c r="W175" s="23">
        <f>IF(O175="","",O175*(1-TaxaVenda))</f>
        <v/>
      </c>
      <c r="X175" s="26">
        <f>IF(OR(V175="",W175=""),"",W175-V175)</f>
        <v/>
      </c>
      <c r="Y175" s="27">
        <f>IF(X175="","",X175/V175)</f>
        <v/>
      </c>
    </row>
    <row r="176">
      <c r="A176" t="inlineStr">
        <is>
          <t>Guardião (Guardian)|Armadura|T8.2</t>
        </is>
      </c>
      <c r="B176" t="inlineStr">
        <is>
          <t>Guardião (Guardian)</t>
        </is>
      </c>
      <c r="C176" t="inlineStr">
        <is>
          <t>Armadura</t>
        </is>
      </c>
      <c r="D176" t="inlineStr">
        <is>
          <t>T8.2</t>
        </is>
      </c>
      <c r="E176" t="n">
        <v>8</v>
      </c>
      <c r="F176" t="n">
        <v>2</v>
      </c>
      <c r="G176" t="n">
        <v>16</v>
      </c>
      <c r="H176" s="22" t="n"/>
      <c r="I176" s="22" t="n"/>
      <c r="J176" s="22" t="n"/>
      <c r="K176" s="22" t="n"/>
      <c r="L176" s="22" t="n"/>
      <c r="M176" s="22" t="n"/>
      <c r="N176" s="22" t="n"/>
      <c r="O176" s="23">
        <f>IF(COUNT(H176:N176)=0,"",MAX(H176:N176))</f>
        <v/>
      </c>
      <c r="P176" s="24">
        <f>IF(O176="","",INDEX($H$3:$N$3,MATCH(O176,H176:N176,0)))</f>
        <v/>
      </c>
      <c r="Q176" s="23">
        <f>IF(Refino!$L$27="","",G176*Refino!$L$27*(1-RetCraft))</f>
        <v/>
      </c>
      <c r="R176" t="n">
        <v>0</v>
      </c>
      <c r="S176" t="inlineStr">
        <is>
          <t>-</t>
        </is>
      </c>
      <c r="T176" s="25">
        <f>G176*Refino!$D$27</f>
        <v/>
      </c>
      <c r="U176" s="25">
        <f>T176*0.1125*FeeCraft/100</f>
        <v/>
      </c>
      <c r="V176" s="23">
        <f>IF(OR(Q176="",R176=""),"",Q176+R176+U176)</f>
        <v/>
      </c>
      <c r="W176" s="23">
        <f>IF(O176="","",O176*(1-TaxaVenda))</f>
        <v/>
      </c>
      <c r="X176" s="26">
        <f>IF(OR(V176="",W176=""),"",W176-V176)</f>
        <v/>
      </c>
      <c r="Y176" s="27">
        <f>IF(X176="","",X176/V176)</f>
        <v/>
      </c>
    </row>
    <row r="177">
      <c r="A177" t="inlineStr">
        <is>
          <t>Guardião (Guardian)|Armadura|T8.3</t>
        </is>
      </c>
      <c r="B177" t="inlineStr">
        <is>
          <t>Guardião (Guardian)</t>
        </is>
      </c>
      <c r="C177" t="inlineStr">
        <is>
          <t>Armadura</t>
        </is>
      </c>
      <c r="D177" t="inlineStr">
        <is>
          <t>T8.3</t>
        </is>
      </c>
      <c r="E177" t="n">
        <v>8</v>
      </c>
      <c r="F177" t="n">
        <v>3</v>
      </c>
      <c r="G177" t="n">
        <v>16</v>
      </c>
      <c r="H177" s="22" t="n"/>
      <c r="I177" s="22" t="n"/>
      <c r="J177" s="22" t="n"/>
      <c r="K177" s="22" t="n"/>
      <c r="L177" s="22" t="n"/>
      <c r="M177" s="22" t="n"/>
      <c r="N177" s="22" t="n"/>
      <c r="O177" s="23">
        <f>IF(COUNT(H177:N177)=0,"",MAX(H177:N177))</f>
        <v/>
      </c>
      <c r="P177" s="24">
        <f>IF(O177="","",INDEX($H$3:$N$3,MATCH(O177,H177:N177,0)))</f>
        <v/>
      </c>
      <c r="Q177" s="23">
        <f>IF(Refino!$L$28="","",G177*Refino!$L$28*(1-RetCraft))</f>
        <v/>
      </c>
      <c r="R177" t="n">
        <v>0</v>
      </c>
      <c r="S177" t="inlineStr">
        <is>
          <t>-</t>
        </is>
      </c>
      <c r="T177" s="25">
        <f>G177*Refino!$D$28</f>
        <v/>
      </c>
      <c r="U177" s="25">
        <f>T177*0.1125*FeeCraft/100</f>
        <v/>
      </c>
      <c r="V177" s="23">
        <f>IF(OR(Q177="",R177=""),"",Q177+R177+U177)</f>
        <v/>
      </c>
      <c r="W177" s="23">
        <f>IF(O177="","",O177*(1-TaxaVenda))</f>
        <v/>
      </c>
      <c r="X177" s="26">
        <f>IF(OR(V177="",W177=""),"",W177-V177)</f>
        <v/>
      </c>
      <c r="Y177" s="27">
        <f>IF(X177="","",X177/V177)</f>
        <v/>
      </c>
    </row>
    <row r="178">
      <c r="A178" t="inlineStr">
        <is>
          <t>Guardião (Guardian)|Armadura|T8.4</t>
        </is>
      </c>
      <c r="B178" t="inlineStr">
        <is>
          <t>Guardião (Guardian)</t>
        </is>
      </c>
      <c r="C178" t="inlineStr">
        <is>
          <t>Armadura</t>
        </is>
      </c>
      <c r="D178" t="inlineStr">
        <is>
          <t>T8.4</t>
        </is>
      </c>
      <c r="E178" t="n">
        <v>8</v>
      </c>
      <c r="F178" t="n">
        <v>4</v>
      </c>
      <c r="G178" t="n">
        <v>16</v>
      </c>
      <c r="H178" s="22" t="n"/>
      <c r="I178" s="22" t="n"/>
      <c r="J178" s="22" t="n"/>
      <c r="K178" s="22" t="n"/>
      <c r="L178" s="22" t="n"/>
      <c r="M178" s="22" t="n"/>
      <c r="N178" s="22" t="n"/>
      <c r="O178" s="23">
        <f>IF(COUNT(H178:N178)=0,"",MAX(H178:N178))</f>
        <v/>
      </c>
      <c r="P178" s="24">
        <f>IF(O178="","",INDEX($H$3:$N$3,MATCH(O178,H178:N178,0)))</f>
        <v/>
      </c>
      <c r="Q178" s="23">
        <f>IF(Refino!$L$29="","",G178*Refino!$L$29*(1-RetCraft))</f>
        <v/>
      </c>
      <c r="R178" t="n">
        <v>0</v>
      </c>
      <c r="S178" t="inlineStr">
        <is>
          <t>-</t>
        </is>
      </c>
      <c r="T178" s="25">
        <f>G178*Refino!$D$29</f>
        <v/>
      </c>
      <c r="U178" s="25">
        <f>T178*0.1125*FeeCraft/100</f>
        <v/>
      </c>
      <c r="V178" s="23">
        <f>IF(OR(Q178="",R178=""),"",Q178+R178+U178)</f>
        <v/>
      </c>
      <c r="W178" s="23">
        <f>IF(O178="","",O178*(1-TaxaVenda))</f>
        <v/>
      </c>
      <c r="X178" s="26">
        <f>IF(OR(V178="",W178=""),"",W178-V178)</f>
        <v/>
      </c>
      <c r="Y178" s="27">
        <f>IF(X178="","",X178/V178)</f>
        <v/>
      </c>
    </row>
    <row r="179">
      <c r="A179" t="inlineStr">
        <is>
          <t>Guardião (Guardian)|Elmo|T4.0</t>
        </is>
      </c>
      <c r="B179" t="inlineStr">
        <is>
          <t>Guardião (Guardian)</t>
        </is>
      </c>
      <c r="C179" t="inlineStr">
        <is>
          <t>Elmo</t>
        </is>
      </c>
      <c r="D179" t="inlineStr">
        <is>
          <t>T4.0</t>
        </is>
      </c>
      <c r="E179" t="n">
        <v>4</v>
      </c>
      <c r="F179" t="n">
        <v>0</v>
      </c>
      <c r="G179" t="n">
        <v>8</v>
      </c>
      <c r="H179" s="22" t="n"/>
      <c r="I179" s="22" t="n"/>
      <c r="J179" s="22" t="n"/>
      <c r="K179" s="22" t="n"/>
      <c r="L179" s="22" t="n"/>
      <c r="M179" s="22" t="n"/>
      <c r="N179" s="22" t="n"/>
      <c r="O179" s="23">
        <f>IF(COUNT(H179:N179)=0,"",MAX(H179:N179))</f>
        <v/>
      </c>
      <c r="P179" s="24">
        <f>IF(O179="","",INDEX($H$3:$N$3,MATCH(O179,H179:N179,0)))</f>
        <v/>
      </c>
      <c r="Q179" s="23">
        <f>IF(Refino!$L$5="","",G179*Refino!$L$5*(1-RetCraft))</f>
        <v/>
      </c>
      <c r="R179" t="n">
        <v>0</v>
      </c>
      <c r="S179" t="inlineStr">
        <is>
          <t>-</t>
        </is>
      </c>
      <c r="T179" s="25">
        <f>G179*Refino!$D$5</f>
        <v/>
      </c>
      <c r="U179" s="25">
        <f>T179*0.1125*FeeCraft/100</f>
        <v/>
      </c>
      <c r="V179" s="23">
        <f>IF(OR(Q179="",R179=""),"",Q179+R179+U179)</f>
        <v/>
      </c>
      <c r="W179" s="23">
        <f>IF(O179="","",O179*(1-TaxaVenda))</f>
        <v/>
      </c>
      <c r="X179" s="26">
        <f>IF(OR(V179="",W179=""),"",W179-V179)</f>
        <v/>
      </c>
      <c r="Y179" s="27">
        <f>IF(X179="","",X179/V179)</f>
        <v/>
      </c>
    </row>
    <row r="180">
      <c r="A180" t="inlineStr">
        <is>
          <t>Guardião (Guardian)|Elmo|T4.1</t>
        </is>
      </c>
      <c r="B180" t="inlineStr">
        <is>
          <t>Guardião (Guardian)</t>
        </is>
      </c>
      <c r="C180" t="inlineStr">
        <is>
          <t>Elmo</t>
        </is>
      </c>
      <c r="D180" t="inlineStr">
        <is>
          <t>T4.1</t>
        </is>
      </c>
      <c r="E180" t="n">
        <v>4</v>
      </c>
      <c r="F180" t="n">
        <v>1</v>
      </c>
      <c r="G180" t="n">
        <v>8</v>
      </c>
      <c r="H180" s="22" t="n"/>
      <c r="I180" s="22" t="n"/>
      <c r="J180" s="22" t="n"/>
      <c r="K180" s="22" t="n"/>
      <c r="L180" s="22" t="n"/>
      <c r="M180" s="22" t="n"/>
      <c r="N180" s="22" t="n"/>
      <c r="O180" s="23">
        <f>IF(COUNT(H180:N180)=0,"",MAX(H180:N180))</f>
        <v/>
      </c>
      <c r="P180" s="24">
        <f>IF(O180="","",INDEX($H$3:$N$3,MATCH(O180,H180:N180,0)))</f>
        <v/>
      </c>
      <c r="Q180" s="23">
        <f>IF(Refino!$L$6="","",G180*Refino!$L$6*(1-RetCraft))</f>
        <v/>
      </c>
      <c r="R180" t="n">
        <v>0</v>
      </c>
      <c r="S180" t="inlineStr">
        <is>
          <t>-</t>
        </is>
      </c>
      <c r="T180" s="25">
        <f>G180*Refino!$D$6</f>
        <v/>
      </c>
      <c r="U180" s="25">
        <f>T180*0.1125*FeeCraft/100</f>
        <v/>
      </c>
      <c r="V180" s="23">
        <f>IF(OR(Q180="",R180=""),"",Q180+R180+U180)</f>
        <v/>
      </c>
      <c r="W180" s="23">
        <f>IF(O180="","",O180*(1-TaxaVenda))</f>
        <v/>
      </c>
      <c r="X180" s="26">
        <f>IF(OR(V180="",W180=""),"",W180-V180)</f>
        <v/>
      </c>
      <c r="Y180" s="27">
        <f>IF(X180="","",X180/V180)</f>
        <v/>
      </c>
    </row>
    <row r="181">
      <c r="A181" t="inlineStr">
        <is>
          <t>Guardião (Guardian)|Elmo|T4.2</t>
        </is>
      </c>
      <c r="B181" t="inlineStr">
        <is>
          <t>Guardião (Guardian)</t>
        </is>
      </c>
      <c r="C181" t="inlineStr">
        <is>
          <t>Elmo</t>
        </is>
      </c>
      <c r="D181" t="inlineStr">
        <is>
          <t>T4.2</t>
        </is>
      </c>
      <c r="E181" t="n">
        <v>4</v>
      </c>
      <c r="F181" t="n">
        <v>2</v>
      </c>
      <c r="G181" t="n">
        <v>8</v>
      </c>
      <c r="H181" s="22" t="n"/>
      <c r="I181" s="22" t="n"/>
      <c r="J181" s="22" t="n"/>
      <c r="K181" s="22" t="n"/>
      <c r="L181" s="22" t="n"/>
      <c r="M181" s="22" t="n"/>
      <c r="N181" s="22" t="n"/>
      <c r="O181" s="23">
        <f>IF(COUNT(H181:N181)=0,"",MAX(H181:N181))</f>
        <v/>
      </c>
      <c r="P181" s="24">
        <f>IF(O181="","",INDEX($H$3:$N$3,MATCH(O181,H181:N181,0)))</f>
        <v/>
      </c>
      <c r="Q181" s="23">
        <f>IF(Refino!$L$7="","",G181*Refino!$L$7*(1-RetCraft))</f>
        <v/>
      </c>
      <c r="R181" t="n">
        <v>0</v>
      </c>
      <c r="S181" t="inlineStr">
        <is>
          <t>-</t>
        </is>
      </c>
      <c r="T181" s="25">
        <f>G181*Refino!$D$7</f>
        <v/>
      </c>
      <c r="U181" s="25">
        <f>T181*0.1125*FeeCraft/100</f>
        <v/>
      </c>
      <c r="V181" s="23">
        <f>IF(OR(Q181="",R181=""),"",Q181+R181+U181)</f>
        <v/>
      </c>
      <c r="W181" s="23">
        <f>IF(O181="","",O181*(1-TaxaVenda))</f>
        <v/>
      </c>
      <c r="X181" s="26">
        <f>IF(OR(V181="",W181=""),"",W181-V181)</f>
        <v/>
      </c>
      <c r="Y181" s="27">
        <f>IF(X181="","",X181/V181)</f>
        <v/>
      </c>
    </row>
    <row r="182">
      <c r="A182" t="inlineStr">
        <is>
          <t>Guardião (Guardian)|Elmo|T4.3</t>
        </is>
      </c>
      <c r="B182" t="inlineStr">
        <is>
          <t>Guardião (Guardian)</t>
        </is>
      </c>
      <c r="C182" t="inlineStr">
        <is>
          <t>Elmo</t>
        </is>
      </c>
      <c r="D182" t="inlineStr">
        <is>
          <t>T4.3</t>
        </is>
      </c>
      <c r="E182" t="n">
        <v>4</v>
      </c>
      <c r="F182" t="n">
        <v>3</v>
      </c>
      <c r="G182" t="n">
        <v>8</v>
      </c>
      <c r="H182" s="22" t="n"/>
      <c r="I182" s="22" t="n"/>
      <c r="J182" s="22" t="n"/>
      <c r="K182" s="22" t="n"/>
      <c r="L182" s="22" t="n"/>
      <c r="M182" s="22" t="n"/>
      <c r="N182" s="22" t="n"/>
      <c r="O182" s="23">
        <f>IF(COUNT(H182:N182)=0,"",MAX(H182:N182))</f>
        <v/>
      </c>
      <c r="P182" s="24">
        <f>IF(O182="","",INDEX($H$3:$N$3,MATCH(O182,H182:N182,0)))</f>
        <v/>
      </c>
      <c r="Q182" s="23">
        <f>IF(Refino!$L$8="","",G182*Refino!$L$8*(1-RetCraft))</f>
        <v/>
      </c>
      <c r="R182" t="n">
        <v>0</v>
      </c>
      <c r="S182" t="inlineStr">
        <is>
          <t>-</t>
        </is>
      </c>
      <c r="T182" s="25">
        <f>G182*Refino!$D$8</f>
        <v/>
      </c>
      <c r="U182" s="25">
        <f>T182*0.1125*FeeCraft/100</f>
        <v/>
      </c>
      <c r="V182" s="23">
        <f>IF(OR(Q182="",R182=""),"",Q182+R182+U182)</f>
        <v/>
      </c>
      <c r="W182" s="23">
        <f>IF(O182="","",O182*(1-TaxaVenda))</f>
        <v/>
      </c>
      <c r="X182" s="26">
        <f>IF(OR(V182="",W182=""),"",W182-V182)</f>
        <v/>
      </c>
      <c r="Y182" s="27">
        <f>IF(X182="","",X182/V182)</f>
        <v/>
      </c>
    </row>
    <row r="183">
      <c r="A183" t="inlineStr">
        <is>
          <t>Guardião (Guardian)|Elmo|T4.4</t>
        </is>
      </c>
      <c r="B183" t="inlineStr">
        <is>
          <t>Guardião (Guardian)</t>
        </is>
      </c>
      <c r="C183" t="inlineStr">
        <is>
          <t>Elmo</t>
        </is>
      </c>
      <c r="D183" t="inlineStr">
        <is>
          <t>T4.4</t>
        </is>
      </c>
      <c r="E183" t="n">
        <v>4</v>
      </c>
      <c r="F183" t="n">
        <v>4</v>
      </c>
      <c r="G183" t="n">
        <v>8</v>
      </c>
      <c r="H183" s="22" t="n"/>
      <c r="I183" s="22" t="n"/>
      <c r="J183" s="22" t="n"/>
      <c r="K183" s="22" t="n"/>
      <c r="L183" s="22" t="n"/>
      <c r="M183" s="22" t="n"/>
      <c r="N183" s="22" t="n"/>
      <c r="O183" s="23">
        <f>IF(COUNT(H183:N183)=0,"",MAX(H183:N183))</f>
        <v/>
      </c>
      <c r="P183" s="24">
        <f>IF(O183="","",INDEX($H$3:$N$3,MATCH(O183,H183:N183,0)))</f>
        <v/>
      </c>
      <c r="Q183" s="23">
        <f>IF(Refino!$L$9="","",G183*Refino!$L$9*(1-RetCraft))</f>
        <v/>
      </c>
      <c r="R183" t="n">
        <v>0</v>
      </c>
      <c r="S183" t="inlineStr">
        <is>
          <t>-</t>
        </is>
      </c>
      <c r="T183" s="25">
        <f>G183*Refino!$D$9</f>
        <v/>
      </c>
      <c r="U183" s="25">
        <f>T183*0.1125*FeeCraft/100</f>
        <v/>
      </c>
      <c r="V183" s="23">
        <f>IF(OR(Q183="",R183=""),"",Q183+R183+U183)</f>
        <v/>
      </c>
      <c r="W183" s="23">
        <f>IF(O183="","",O183*(1-TaxaVenda))</f>
        <v/>
      </c>
      <c r="X183" s="26">
        <f>IF(OR(V183="",W183=""),"",W183-V183)</f>
        <v/>
      </c>
      <c r="Y183" s="27">
        <f>IF(X183="","",X183/V183)</f>
        <v/>
      </c>
    </row>
    <row r="184">
      <c r="A184" t="inlineStr">
        <is>
          <t>Guardião (Guardian)|Elmo|T5.0</t>
        </is>
      </c>
      <c r="B184" t="inlineStr">
        <is>
          <t>Guardião (Guardian)</t>
        </is>
      </c>
      <c r="C184" t="inlineStr">
        <is>
          <t>Elmo</t>
        </is>
      </c>
      <c r="D184" t="inlineStr">
        <is>
          <t>T5.0</t>
        </is>
      </c>
      <c r="E184" t="n">
        <v>5</v>
      </c>
      <c r="F184" t="n">
        <v>0</v>
      </c>
      <c r="G184" t="n">
        <v>8</v>
      </c>
      <c r="H184" s="22" t="n"/>
      <c r="I184" s="22" t="n"/>
      <c r="J184" s="22" t="n"/>
      <c r="K184" s="22" t="n"/>
      <c r="L184" s="22" t="n"/>
      <c r="M184" s="22" t="n"/>
      <c r="N184" s="22" t="n"/>
      <c r="O184" s="23">
        <f>IF(COUNT(H184:N184)=0,"",MAX(H184:N184))</f>
        <v/>
      </c>
      <c r="P184" s="24">
        <f>IF(O184="","",INDEX($H$3:$N$3,MATCH(O184,H184:N184,0)))</f>
        <v/>
      </c>
      <c r="Q184" s="23">
        <f>IF(Refino!$L$10="","",G184*Refino!$L$10*(1-RetCraft))</f>
        <v/>
      </c>
      <c r="R184" t="n">
        <v>0</v>
      </c>
      <c r="S184" t="inlineStr">
        <is>
          <t>-</t>
        </is>
      </c>
      <c r="T184" s="25">
        <f>G184*Refino!$D$10</f>
        <v/>
      </c>
      <c r="U184" s="25">
        <f>T184*0.1125*FeeCraft/100</f>
        <v/>
      </c>
      <c r="V184" s="23">
        <f>IF(OR(Q184="",R184=""),"",Q184+R184+U184)</f>
        <v/>
      </c>
      <c r="W184" s="23">
        <f>IF(O184="","",O184*(1-TaxaVenda))</f>
        <v/>
      </c>
      <c r="X184" s="26">
        <f>IF(OR(V184="",W184=""),"",W184-V184)</f>
        <v/>
      </c>
      <c r="Y184" s="27">
        <f>IF(X184="","",X184/V184)</f>
        <v/>
      </c>
    </row>
    <row r="185">
      <c r="A185" t="inlineStr">
        <is>
          <t>Guardião (Guardian)|Elmo|T5.1</t>
        </is>
      </c>
      <c r="B185" t="inlineStr">
        <is>
          <t>Guardião (Guardian)</t>
        </is>
      </c>
      <c r="C185" t="inlineStr">
        <is>
          <t>Elmo</t>
        </is>
      </c>
      <c r="D185" t="inlineStr">
        <is>
          <t>T5.1</t>
        </is>
      </c>
      <c r="E185" t="n">
        <v>5</v>
      </c>
      <c r="F185" t="n">
        <v>1</v>
      </c>
      <c r="G185" t="n">
        <v>8</v>
      </c>
      <c r="H185" s="22" t="n"/>
      <c r="I185" s="22" t="n"/>
      <c r="J185" s="22" t="n"/>
      <c r="K185" s="22" t="n"/>
      <c r="L185" s="22" t="n"/>
      <c r="M185" s="22" t="n"/>
      <c r="N185" s="22" t="n"/>
      <c r="O185" s="23">
        <f>IF(COUNT(H185:N185)=0,"",MAX(H185:N185))</f>
        <v/>
      </c>
      <c r="P185" s="24">
        <f>IF(O185="","",INDEX($H$3:$N$3,MATCH(O185,H185:N185,0)))</f>
        <v/>
      </c>
      <c r="Q185" s="23">
        <f>IF(Refino!$L$11="","",G185*Refino!$L$11*(1-RetCraft))</f>
        <v/>
      </c>
      <c r="R185" t="n">
        <v>0</v>
      </c>
      <c r="S185" t="inlineStr">
        <is>
          <t>-</t>
        </is>
      </c>
      <c r="T185" s="25">
        <f>G185*Refino!$D$11</f>
        <v/>
      </c>
      <c r="U185" s="25">
        <f>T185*0.1125*FeeCraft/100</f>
        <v/>
      </c>
      <c r="V185" s="23">
        <f>IF(OR(Q185="",R185=""),"",Q185+R185+U185)</f>
        <v/>
      </c>
      <c r="W185" s="23">
        <f>IF(O185="","",O185*(1-TaxaVenda))</f>
        <v/>
      </c>
      <c r="X185" s="26">
        <f>IF(OR(V185="",W185=""),"",W185-V185)</f>
        <v/>
      </c>
      <c r="Y185" s="27">
        <f>IF(X185="","",X185/V185)</f>
        <v/>
      </c>
    </row>
    <row r="186">
      <c r="A186" t="inlineStr">
        <is>
          <t>Guardião (Guardian)|Elmo|T5.2</t>
        </is>
      </c>
      <c r="B186" t="inlineStr">
        <is>
          <t>Guardião (Guardian)</t>
        </is>
      </c>
      <c r="C186" t="inlineStr">
        <is>
          <t>Elmo</t>
        </is>
      </c>
      <c r="D186" t="inlineStr">
        <is>
          <t>T5.2</t>
        </is>
      </c>
      <c r="E186" t="n">
        <v>5</v>
      </c>
      <c r="F186" t="n">
        <v>2</v>
      </c>
      <c r="G186" t="n">
        <v>8</v>
      </c>
      <c r="H186" s="22" t="n"/>
      <c r="I186" s="22" t="n"/>
      <c r="J186" s="22" t="n"/>
      <c r="K186" s="22" t="n"/>
      <c r="L186" s="22" t="n"/>
      <c r="M186" s="22" t="n"/>
      <c r="N186" s="22" t="n"/>
      <c r="O186" s="23">
        <f>IF(COUNT(H186:N186)=0,"",MAX(H186:N186))</f>
        <v/>
      </c>
      <c r="P186" s="24">
        <f>IF(O186="","",INDEX($H$3:$N$3,MATCH(O186,H186:N186,0)))</f>
        <v/>
      </c>
      <c r="Q186" s="23">
        <f>IF(Refino!$L$12="","",G186*Refino!$L$12*(1-RetCraft))</f>
        <v/>
      </c>
      <c r="R186" t="n">
        <v>0</v>
      </c>
      <c r="S186" t="inlineStr">
        <is>
          <t>-</t>
        </is>
      </c>
      <c r="T186" s="25">
        <f>G186*Refino!$D$12</f>
        <v/>
      </c>
      <c r="U186" s="25">
        <f>T186*0.1125*FeeCraft/100</f>
        <v/>
      </c>
      <c r="V186" s="23">
        <f>IF(OR(Q186="",R186=""),"",Q186+R186+U186)</f>
        <v/>
      </c>
      <c r="W186" s="23">
        <f>IF(O186="","",O186*(1-TaxaVenda))</f>
        <v/>
      </c>
      <c r="X186" s="26">
        <f>IF(OR(V186="",W186=""),"",W186-V186)</f>
        <v/>
      </c>
      <c r="Y186" s="27">
        <f>IF(X186="","",X186/V186)</f>
        <v/>
      </c>
    </row>
    <row r="187">
      <c r="A187" t="inlineStr">
        <is>
          <t>Guardião (Guardian)|Elmo|T5.3</t>
        </is>
      </c>
      <c r="B187" t="inlineStr">
        <is>
          <t>Guardião (Guardian)</t>
        </is>
      </c>
      <c r="C187" t="inlineStr">
        <is>
          <t>Elmo</t>
        </is>
      </c>
      <c r="D187" t="inlineStr">
        <is>
          <t>T5.3</t>
        </is>
      </c>
      <c r="E187" t="n">
        <v>5</v>
      </c>
      <c r="F187" t="n">
        <v>3</v>
      </c>
      <c r="G187" t="n">
        <v>8</v>
      </c>
      <c r="H187" s="22" t="n"/>
      <c r="I187" s="22" t="n"/>
      <c r="J187" s="22" t="n"/>
      <c r="K187" s="22" t="n"/>
      <c r="L187" s="22" t="n"/>
      <c r="M187" s="22" t="n"/>
      <c r="N187" s="22" t="n"/>
      <c r="O187" s="23">
        <f>IF(COUNT(H187:N187)=0,"",MAX(H187:N187))</f>
        <v/>
      </c>
      <c r="P187" s="24">
        <f>IF(O187="","",INDEX($H$3:$N$3,MATCH(O187,H187:N187,0)))</f>
        <v/>
      </c>
      <c r="Q187" s="23">
        <f>IF(Refino!$L$13="","",G187*Refino!$L$13*(1-RetCraft))</f>
        <v/>
      </c>
      <c r="R187" t="n">
        <v>0</v>
      </c>
      <c r="S187" t="inlineStr">
        <is>
          <t>-</t>
        </is>
      </c>
      <c r="T187" s="25">
        <f>G187*Refino!$D$13</f>
        <v/>
      </c>
      <c r="U187" s="25">
        <f>T187*0.1125*FeeCraft/100</f>
        <v/>
      </c>
      <c r="V187" s="23">
        <f>IF(OR(Q187="",R187=""),"",Q187+R187+U187)</f>
        <v/>
      </c>
      <c r="W187" s="23">
        <f>IF(O187="","",O187*(1-TaxaVenda))</f>
        <v/>
      </c>
      <c r="X187" s="26">
        <f>IF(OR(V187="",W187=""),"",W187-V187)</f>
        <v/>
      </c>
      <c r="Y187" s="27">
        <f>IF(X187="","",X187/V187)</f>
        <v/>
      </c>
    </row>
    <row r="188">
      <c r="A188" t="inlineStr">
        <is>
          <t>Guardião (Guardian)|Elmo|T5.4</t>
        </is>
      </c>
      <c r="B188" t="inlineStr">
        <is>
          <t>Guardião (Guardian)</t>
        </is>
      </c>
      <c r="C188" t="inlineStr">
        <is>
          <t>Elmo</t>
        </is>
      </c>
      <c r="D188" t="inlineStr">
        <is>
          <t>T5.4</t>
        </is>
      </c>
      <c r="E188" t="n">
        <v>5</v>
      </c>
      <c r="F188" t="n">
        <v>4</v>
      </c>
      <c r="G188" t="n">
        <v>8</v>
      </c>
      <c r="H188" s="22" t="n"/>
      <c r="I188" s="22" t="n"/>
      <c r="J188" s="22" t="n"/>
      <c r="K188" s="22" t="n"/>
      <c r="L188" s="22" t="n"/>
      <c r="M188" s="22" t="n"/>
      <c r="N188" s="22" t="n"/>
      <c r="O188" s="23">
        <f>IF(COUNT(H188:N188)=0,"",MAX(H188:N188))</f>
        <v/>
      </c>
      <c r="P188" s="24">
        <f>IF(O188="","",INDEX($H$3:$N$3,MATCH(O188,H188:N188,0)))</f>
        <v/>
      </c>
      <c r="Q188" s="23">
        <f>IF(Refino!$L$14="","",G188*Refino!$L$14*(1-RetCraft))</f>
        <v/>
      </c>
      <c r="R188" t="n">
        <v>0</v>
      </c>
      <c r="S188" t="inlineStr">
        <is>
          <t>-</t>
        </is>
      </c>
      <c r="T188" s="25">
        <f>G188*Refino!$D$14</f>
        <v/>
      </c>
      <c r="U188" s="25">
        <f>T188*0.1125*FeeCraft/100</f>
        <v/>
      </c>
      <c r="V188" s="23">
        <f>IF(OR(Q188="",R188=""),"",Q188+R188+U188)</f>
        <v/>
      </c>
      <c r="W188" s="23">
        <f>IF(O188="","",O188*(1-TaxaVenda))</f>
        <v/>
      </c>
      <c r="X188" s="26">
        <f>IF(OR(V188="",W188=""),"",W188-V188)</f>
        <v/>
      </c>
      <c r="Y188" s="27">
        <f>IF(X188="","",X188/V188)</f>
        <v/>
      </c>
    </row>
    <row r="189">
      <c r="A189" t="inlineStr">
        <is>
          <t>Guardião (Guardian)|Elmo|T6.0</t>
        </is>
      </c>
      <c r="B189" t="inlineStr">
        <is>
          <t>Guardião (Guardian)</t>
        </is>
      </c>
      <c r="C189" t="inlineStr">
        <is>
          <t>Elmo</t>
        </is>
      </c>
      <c r="D189" t="inlineStr">
        <is>
          <t>T6.0</t>
        </is>
      </c>
      <c r="E189" t="n">
        <v>6</v>
      </c>
      <c r="F189" t="n">
        <v>0</v>
      </c>
      <c r="G189" t="n">
        <v>8</v>
      </c>
      <c r="H189" s="22" t="n"/>
      <c r="I189" s="22" t="n"/>
      <c r="J189" s="22" t="n"/>
      <c r="K189" s="22" t="n"/>
      <c r="L189" s="22" t="n"/>
      <c r="M189" s="22" t="n"/>
      <c r="N189" s="22" t="n"/>
      <c r="O189" s="23">
        <f>IF(COUNT(H189:N189)=0,"",MAX(H189:N189))</f>
        <v/>
      </c>
      <c r="P189" s="24">
        <f>IF(O189="","",INDEX($H$3:$N$3,MATCH(O189,H189:N189,0)))</f>
        <v/>
      </c>
      <c r="Q189" s="23">
        <f>IF(Refino!$L$15="","",G189*Refino!$L$15*(1-RetCraft))</f>
        <v/>
      </c>
      <c r="R189" t="n">
        <v>0</v>
      </c>
      <c r="S189" t="inlineStr">
        <is>
          <t>-</t>
        </is>
      </c>
      <c r="T189" s="25">
        <f>G189*Refino!$D$15</f>
        <v/>
      </c>
      <c r="U189" s="25">
        <f>T189*0.1125*FeeCraft/100</f>
        <v/>
      </c>
      <c r="V189" s="23">
        <f>IF(OR(Q189="",R189=""),"",Q189+R189+U189)</f>
        <v/>
      </c>
      <c r="W189" s="23">
        <f>IF(O189="","",O189*(1-TaxaVenda))</f>
        <v/>
      </c>
      <c r="X189" s="26">
        <f>IF(OR(V189="",W189=""),"",W189-V189)</f>
        <v/>
      </c>
      <c r="Y189" s="27">
        <f>IF(X189="","",X189/V189)</f>
        <v/>
      </c>
    </row>
    <row r="190">
      <c r="A190" t="inlineStr">
        <is>
          <t>Guardião (Guardian)|Elmo|T6.1</t>
        </is>
      </c>
      <c r="B190" t="inlineStr">
        <is>
          <t>Guardião (Guardian)</t>
        </is>
      </c>
      <c r="C190" t="inlineStr">
        <is>
          <t>Elmo</t>
        </is>
      </c>
      <c r="D190" t="inlineStr">
        <is>
          <t>T6.1</t>
        </is>
      </c>
      <c r="E190" t="n">
        <v>6</v>
      </c>
      <c r="F190" t="n">
        <v>1</v>
      </c>
      <c r="G190" t="n">
        <v>8</v>
      </c>
      <c r="H190" s="22" t="n"/>
      <c r="I190" s="22" t="n"/>
      <c r="J190" s="22" t="n"/>
      <c r="K190" s="22" t="n"/>
      <c r="L190" s="22" t="n"/>
      <c r="M190" s="22" t="n"/>
      <c r="N190" s="22" t="n"/>
      <c r="O190" s="23">
        <f>IF(COUNT(H190:N190)=0,"",MAX(H190:N190))</f>
        <v/>
      </c>
      <c r="P190" s="24">
        <f>IF(O190="","",INDEX($H$3:$N$3,MATCH(O190,H190:N190,0)))</f>
        <v/>
      </c>
      <c r="Q190" s="23">
        <f>IF(Refino!$L$16="","",G190*Refino!$L$16*(1-RetCraft))</f>
        <v/>
      </c>
      <c r="R190" t="n">
        <v>0</v>
      </c>
      <c r="S190" t="inlineStr">
        <is>
          <t>-</t>
        </is>
      </c>
      <c r="T190" s="25">
        <f>G190*Refino!$D$16</f>
        <v/>
      </c>
      <c r="U190" s="25">
        <f>T190*0.1125*FeeCraft/100</f>
        <v/>
      </c>
      <c r="V190" s="23">
        <f>IF(OR(Q190="",R190=""),"",Q190+R190+U190)</f>
        <v/>
      </c>
      <c r="W190" s="23">
        <f>IF(O190="","",O190*(1-TaxaVenda))</f>
        <v/>
      </c>
      <c r="X190" s="26">
        <f>IF(OR(V190="",W190=""),"",W190-V190)</f>
        <v/>
      </c>
      <c r="Y190" s="27">
        <f>IF(X190="","",X190/V190)</f>
        <v/>
      </c>
    </row>
    <row r="191">
      <c r="A191" t="inlineStr">
        <is>
          <t>Guardião (Guardian)|Elmo|T6.2</t>
        </is>
      </c>
      <c r="B191" t="inlineStr">
        <is>
          <t>Guardião (Guardian)</t>
        </is>
      </c>
      <c r="C191" t="inlineStr">
        <is>
          <t>Elmo</t>
        </is>
      </c>
      <c r="D191" t="inlineStr">
        <is>
          <t>T6.2</t>
        </is>
      </c>
      <c r="E191" t="n">
        <v>6</v>
      </c>
      <c r="F191" t="n">
        <v>2</v>
      </c>
      <c r="G191" t="n">
        <v>8</v>
      </c>
      <c r="H191" s="22" t="n"/>
      <c r="I191" s="22" t="n"/>
      <c r="J191" s="22" t="n"/>
      <c r="K191" s="22" t="n"/>
      <c r="L191" s="22" t="n"/>
      <c r="M191" s="22" t="n"/>
      <c r="N191" s="22" t="n"/>
      <c r="O191" s="23">
        <f>IF(COUNT(H191:N191)=0,"",MAX(H191:N191))</f>
        <v/>
      </c>
      <c r="P191" s="24">
        <f>IF(O191="","",INDEX($H$3:$N$3,MATCH(O191,H191:N191,0)))</f>
        <v/>
      </c>
      <c r="Q191" s="23">
        <f>IF(Refino!$L$17="","",G191*Refino!$L$17*(1-RetCraft))</f>
        <v/>
      </c>
      <c r="R191" t="n">
        <v>0</v>
      </c>
      <c r="S191" t="inlineStr">
        <is>
          <t>-</t>
        </is>
      </c>
      <c r="T191" s="25">
        <f>G191*Refino!$D$17</f>
        <v/>
      </c>
      <c r="U191" s="25">
        <f>T191*0.1125*FeeCraft/100</f>
        <v/>
      </c>
      <c r="V191" s="23">
        <f>IF(OR(Q191="",R191=""),"",Q191+R191+U191)</f>
        <v/>
      </c>
      <c r="W191" s="23">
        <f>IF(O191="","",O191*(1-TaxaVenda))</f>
        <v/>
      </c>
      <c r="X191" s="26">
        <f>IF(OR(V191="",W191=""),"",W191-V191)</f>
        <v/>
      </c>
      <c r="Y191" s="27">
        <f>IF(X191="","",X191/V191)</f>
        <v/>
      </c>
    </row>
    <row r="192">
      <c r="A192" t="inlineStr">
        <is>
          <t>Guardião (Guardian)|Elmo|T6.3</t>
        </is>
      </c>
      <c r="B192" t="inlineStr">
        <is>
          <t>Guardião (Guardian)</t>
        </is>
      </c>
      <c r="C192" t="inlineStr">
        <is>
          <t>Elmo</t>
        </is>
      </c>
      <c r="D192" t="inlineStr">
        <is>
          <t>T6.3</t>
        </is>
      </c>
      <c r="E192" t="n">
        <v>6</v>
      </c>
      <c r="F192" t="n">
        <v>3</v>
      </c>
      <c r="G192" t="n">
        <v>8</v>
      </c>
      <c r="H192" s="22" t="n"/>
      <c r="I192" s="22" t="n"/>
      <c r="J192" s="22" t="n"/>
      <c r="K192" s="22" t="n"/>
      <c r="L192" s="22" t="n"/>
      <c r="M192" s="22" t="n"/>
      <c r="N192" s="22" t="n"/>
      <c r="O192" s="23">
        <f>IF(COUNT(H192:N192)=0,"",MAX(H192:N192))</f>
        <v/>
      </c>
      <c r="P192" s="24">
        <f>IF(O192="","",INDEX($H$3:$N$3,MATCH(O192,H192:N192,0)))</f>
        <v/>
      </c>
      <c r="Q192" s="23">
        <f>IF(Refino!$L$18="","",G192*Refino!$L$18*(1-RetCraft))</f>
        <v/>
      </c>
      <c r="R192" t="n">
        <v>0</v>
      </c>
      <c r="S192" t="inlineStr">
        <is>
          <t>-</t>
        </is>
      </c>
      <c r="T192" s="25">
        <f>G192*Refino!$D$18</f>
        <v/>
      </c>
      <c r="U192" s="25">
        <f>T192*0.1125*FeeCraft/100</f>
        <v/>
      </c>
      <c r="V192" s="23">
        <f>IF(OR(Q192="",R192=""),"",Q192+R192+U192)</f>
        <v/>
      </c>
      <c r="W192" s="23">
        <f>IF(O192="","",O192*(1-TaxaVenda))</f>
        <v/>
      </c>
      <c r="X192" s="26">
        <f>IF(OR(V192="",W192=""),"",W192-V192)</f>
        <v/>
      </c>
      <c r="Y192" s="27">
        <f>IF(X192="","",X192/V192)</f>
        <v/>
      </c>
    </row>
    <row r="193">
      <c r="A193" t="inlineStr">
        <is>
          <t>Guardião (Guardian)|Elmo|T6.4</t>
        </is>
      </c>
      <c r="B193" t="inlineStr">
        <is>
          <t>Guardião (Guardian)</t>
        </is>
      </c>
      <c r="C193" t="inlineStr">
        <is>
          <t>Elmo</t>
        </is>
      </c>
      <c r="D193" t="inlineStr">
        <is>
          <t>T6.4</t>
        </is>
      </c>
      <c r="E193" t="n">
        <v>6</v>
      </c>
      <c r="F193" t="n">
        <v>4</v>
      </c>
      <c r="G193" t="n">
        <v>8</v>
      </c>
      <c r="H193" s="22" t="n"/>
      <c r="I193" s="22" t="n"/>
      <c r="J193" s="22" t="n"/>
      <c r="K193" s="22" t="n"/>
      <c r="L193" s="22" t="n"/>
      <c r="M193" s="22" t="n"/>
      <c r="N193" s="22" t="n"/>
      <c r="O193" s="23">
        <f>IF(COUNT(H193:N193)=0,"",MAX(H193:N193))</f>
        <v/>
      </c>
      <c r="P193" s="24">
        <f>IF(O193="","",INDEX($H$3:$N$3,MATCH(O193,H193:N193,0)))</f>
        <v/>
      </c>
      <c r="Q193" s="23">
        <f>IF(Refino!$L$19="","",G193*Refino!$L$19*(1-RetCraft))</f>
        <v/>
      </c>
      <c r="R193" t="n">
        <v>0</v>
      </c>
      <c r="S193" t="inlineStr">
        <is>
          <t>-</t>
        </is>
      </c>
      <c r="T193" s="25">
        <f>G193*Refino!$D$19</f>
        <v/>
      </c>
      <c r="U193" s="25">
        <f>T193*0.1125*FeeCraft/100</f>
        <v/>
      </c>
      <c r="V193" s="23">
        <f>IF(OR(Q193="",R193=""),"",Q193+R193+U193)</f>
        <v/>
      </c>
      <c r="W193" s="23">
        <f>IF(O193="","",O193*(1-TaxaVenda))</f>
        <v/>
      </c>
      <c r="X193" s="26">
        <f>IF(OR(V193="",W193=""),"",W193-V193)</f>
        <v/>
      </c>
      <c r="Y193" s="27">
        <f>IF(X193="","",X193/V193)</f>
        <v/>
      </c>
    </row>
    <row r="194">
      <c r="A194" t="inlineStr">
        <is>
          <t>Guardião (Guardian)|Elmo|T7.0</t>
        </is>
      </c>
      <c r="B194" t="inlineStr">
        <is>
          <t>Guardião (Guardian)</t>
        </is>
      </c>
      <c r="C194" t="inlineStr">
        <is>
          <t>Elmo</t>
        </is>
      </c>
      <c r="D194" t="inlineStr">
        <is>
          <t>T7.0</t>
        </is>
      </c>
      <c r="E194" t="n">
        <v>7</v>
      </c>
      <c r="F194" t="n">
        <v>0</v>
      </c>
      <c r="G194" t="n">
        <v>8</v>
      </c>
      <c r="H194" s="22" t="n"/>
      <c r="I194" s="22" t="n"/>
      <c r="J194" s="22" t="n"/>
      <c r="K194" s="22" t="n"/>
      <c r="L194" s="22" t="n"/>
      <c r="M194" s="22" t="n"/>
      <c r="N194" s="22" t="n"/>
      <c r="O194" s="23">
        <f>IF(COUNT(H194:N194)=0,"",MAX(H194:N194))</f>
        <v/>
      </c>
      <c r="P194" s="24">
        <f>IF(O194="","",INDEX($H$3:$N$3,MATCH(O194,H194:N194,0)))</f>
        <v/>
      </c>
      <c r="Q194" s="23">
        <f>IF(Refino!$L$20="","",G194*Refino!$L$20*(1-RetCraft))</f>
        <v/>
      </c>
      <c r="R194" t="n">
        <v>0</v>
      </c>
      <c r="S194" t="inlineStr">
        <is>
          <t>-</t>
        </is>
      </c>
      <c r="T194" s="25">
        <f>G194*Refino!$D$20</f>
        <v/>
      </c>
      <c r="U194" s="25">
        <f>T194*0.1125*FeeCraft/100</f>
        <v/>
      </c>
      <c r="V194" s="23">
        <f>IF(OR(Q194="",R194=""),"",Q194+R194+U194)</f>
        <v/>
      </c>
      <c r="W194" s="23">
        <f>IF(O194="","",O194*(1-TaxaVenda))</f>
        <v/>
      </c>
      <c r="X194" s="26">
        <f>IF(OR(V194="",W194=""),"",W194-V194)</f>
        <v/>
      </c>
      <c r="Y194" s="27">
        <f>IF(X194="","",X194/V194)</f>
        <v/>
      </c>
    </row>
    <row r="195">
      <c r="A195" t="inlineStr">
        <is>
          <t>Guardião (Guardian)|Elmo|T7.1</t>
        </is>
      </c>
      <c r="B195" t="inlineStr">
        <is>
          <t>Guardião (Guardian)</t>
        </is>
      </c>
      <c r="C195" t="inlineStr">
        <is>
          <t>Elmo</t>
        </is>
      </c>
      <c r="D195" t="inlineStr">
        <is>
          <t>T7.1</t>
        </is>
      </c>
      <c r="E195" t="n">
        <v>7</v>
      </c>
      <c r="F195" t="n">
        <v>1</v>
      </c>
      <c r="G195" t="n">
        <v>8</v>
      </c>
      <c r="H195" s="22" t="n"/>
      <c r="I195" s="22" t="n"/>
      <c r="J195" s="22" t="n"/>
      <c r="K195" s="22" t="n"/>
      <c r="L195" s="22" t="n"/>
      <c r="M195" s="22" t="n"/>
      <c r="N195" s="22" t="n"/>
      <c r="O195" s="23">
        <f>IF(COUNT(H195:N195)=0,"",MAX(H195:N195))</f>
        <v/>
      </c>
      <c r="P195" s="24">
        <f>IF(O195="","",INDEX($H$3:$N$3,MATCH(O195,H195:N195,0)))</f>
        <v/>
      </c>
      <c r="Q195" s="23">
        <f>IF(Refino!$L$21="","",G195*Refino!$L$21*(1-RetCraft))</f>
        <v/>
      </c>
      <c r="R195" t="n">
        <v>0</v>
      </c>
      <c r="S195" t="inlineStr">
        <is>
          <t>-</t>
        </is>
      </c>
      <c r="T195" s="25">
        <f>G195*Refino!$D$21</f>
        <v/>
      </c>
      <c r="U195" s="25">
        <f>T195*0.1125*FeeCraft/100</f>
        <v/>
      </c>
      <c r="V195" s="23">
        <f>IF(OR(Q195="",R195=""),"",Q195+R195+U195)</f>
        <v/>
      </c>
      <c r="W195" s="23">
        <f>IF(O195="","",O195*(1-TaxaVenda))</f>
        <v/>
      </c>
      <c r="X195" s="26">
        <f>IF(OR(V195="",W195=""),"",W195-V195)</f>
        <v/>
      </c>
      <c r="Y195" s="27">
        <f>IF(X195="","",X195/V195)</f>
        <v/>
      </c>
    </row>
    <row r="196">
      <c r="A196" t="inlineStr">
        <is>
          <t>Guardião (Guardian)|Elmo|T7.2</t>
        </is>
      </c>
      <c r="B196" t="inlineStr">
        <is>
          <t>Guardião (Guardian)</t>
        </is>
      </c>
      <c r="C196" t="inlineStr">
        <is>
          <t>Elmo</t>
        </is>
      </c>
      <c r="D196" t="inlineStr">
        <is>
          <t>T7.2</t>
        </is>
      </c>
      <c r="E196" t="n">
        <v>7</v>
      </c>
      <c r="F196" t="n">
        <v>2</v>
      </c>
      <c r="G196" t="n">
        <v>8</v>
      </c>
      <c r="H196" s="22" t="n"/>
      <c r="I196" s="22" t="n"/>
      <c r="J196" s="22" t="n"/>
      <c r="K196" s="22" t="n"/>
      <c r="L196" s="22" t="n"/>
      <c r="M196" s="22" t="n"/>
      <c r="N196" s="22" t="n"/>
      <c r="O196" s="23">
        <f>IF(COUNT(H196:N196)=0,"",MAX(H196:N196))</f>
        <v/>
      </c>
      <c r="P196" s="24">
        <f>IF(O196="","",INDEX($H$3:$N$3,MATCH(O196,H196:N196,0)))</f>
        <v/>
      </c>
      <c r="Q196" s="23">
        <f>IF(Refino!$L$22="","",G196*Refino!$L$22*(1-RetCraft))</f>
        <v/>
      </c>
      <c r="R196" t="n">
        <v>0</v>
      </c>
      <c r="S196" t="inlineStr">
        <is>
          <t>-</t>
        </is>
      </c>
      <c r="T196" s="25">
        <f>G196*Refino!$D$22</f>
        <v/>
      </c>
      <c r="U196" s="25">
        <f>T196*0.1125*FeeCraft/100</f>
        <v/>
      </c>
      <c r="V196" s="23">
        <f>IF(OR(Q196="",R196=""),"",Q196+R196+U196)</f>
        <v/>
      </c>
      <c r="W196" s="23">
        <f>IF(O196="","",O196*(1-TaxaVenda))</f>
        <v/>
      </c>
      <c r="X196" s="26">
        <f>IF(OR(V196="",W196=""),"",W196-V196)</f>
        <v/>
      </c>
      <c r="Y196" s="27">
        <f>IF(X196="","",X196/V196)</f>
        <v/>
      </c>
    </row>
    <row r="197">
      <c r="A197" t="inlineStr">
        <is>
          <t>Guardião (Guardian)|Elmo|T7.3</t>
        </is>
      </c>
      <c r="B197" t="inlineStr">
        <is>
          <t>Guardião (Guardian)</t>
        </is>
      </c>
      <c r="C197" t="inlineStr">
        <is>
          <t>Elmo</t>
        </is>
      </c>
      <c r="D197" t="inlineStr">
        <is>
          <t>T7.3</t>
        </is>
      </c>
      <c r="E197" t="n">
        <v>7</v>
      </c>
      <c r="F197" t="n">
        <v>3</v>
      </c>
      <c r="G197" t="n">
        <v>8</v>
      </c>
      <c r="H197" s="22" t="n"/>
      <c r="I197" s="22" t="n"/>
      <c r="J197" s="22" t="n"/>
      <c r="K197" s="22" t="n"/>
      <c r="L197" s="22" t="n"/>
      <c r="M197" s="22" t="n"/>
      <c r="N197" s="22" t="n"/>
      <c r="O197" s="23">
        <f>IF(COUNT(H197:N197)=0,"",MAX(H197:N197))</f>
        <v/>
      </c>
      <c r="P197" s="24">
        <f>IF(O197="","",INDEX($H$3:$N$3,MATCH(O197,H197:N197,0)))</f>
        <v/>
      </c>
      <c r="Q197" s="23">
        <f>IF(Refino!$L$23="","",G197*Refino!$L$23*(1-RetCraft))</f>
        <v/>
      </c>
      <c r="R197" t="n">
        <v>0</v>
      </c>
      <c r="S197" t="inlineStr">
        <is>
          <t>-</t>
        </is>
      </c>
      <c r="T197" s="25">
        <f>G197*Refino!$D$23</f>
        <v/>
      </c>
      <c r="U197" s="25">
        <f>T197*0.1125*FeeCraft/100</f>
        <v/>
      </c>
      <c r="V197" s="23">
        <f>IF(OR(Q197="",R197=""),"",Q197+R197+U197)</f>
        <v/>
      </c>
      <c r="W197" s="23">
        <f>IF(O197="","",O197*(1-TaxaVenda))</f>
        <v/>
      </c>
      <c r="X197" s="26">
        <f>IF(OR(V197="",W197=""),"",W197-V197)</f>
        <v/>
      </c>
      <c r="Y197" s="27">
        <f>IF(X197="","",X197/V197)</f>
        <v/>
      </c>
    </row>
    <row r="198">
      <c r="A198" t="inlineStr">
        <is>
          <t>Guardião (Guardian)|Elmo|T7.4</t>
        </is>
      </c>
      <c r="B198" t="inlineStr">
        <is>
          <t>Guardião (Guardian)</t>
        </is>
      </c>
      <c r="C198" t="inlineStr">
        <is>
          <t>Elmo</t>
        </is>
      </c>
      <c r="D198" t="inlineStr">
        <is>
          <t>T7.4</t>
        </is>
      </c>
      <c r="E198" t="n">
        <v>7</v>
      </c>
      <c r="F198" t="n">
        <v>4</v>
      </c>
      <c r="G198" t="n">
        <v>8</v>
      </c>
      <c r="H198" s="22" t="n"/>
      <c r="I198" s="22" t="n"/>
      <c r="J198" s="22" t="n"/>
      <c r="K198" s="22" t="n"/>
      <c r="L198" s="22" t="n"/>
      <c r="M198" s="22" t="n"/>
      <c r="N198" s="22" t="n"/>
      <c r="O198" s="23">
        <f>IF(COUNT(H198:N198)=0,"",MAX(H198:N198))</f>
        <v/>
      </c>
      <c r="P198" s="24">
        <f>IF(O198="","",INDEX($H$3:$N$3,MATCH(O198,H198:N198,0)))</f>
        <v/>
      </c>
      <c r="Q198" s="23">
        <f>IF(Refino!$L$24="","",G198*Refino!$L$24*(1-RetCraft))</f>
        <v/>
      </c>
      <c r="R198" t="n">
        <v>0</v>
      </c>
      <c r="S198" t="inlineStr">
        <is>
          <t>-</t>
        </is>
      </c>
      <c r="T198" s="25">
        <f>G198*Refino!$D$24</f>
        <v/>
      </c>
      <c r="U198" s="25">
        <f>T198*0.1125*FeeCraft/100</f>
        <v/>
      </c>
      <c r="V198" s="23">
        <f>IF(OR(Q198="",R198=""),"",Q198+R198+U198)</f>
        <v/>
      </c>
      <c r="W198" s="23">
        <f>IF(O198="","",O198*(1-TaxaVenda))</f>
        <v/>
      </c>
      <c r="X198" s="26">
        <f>IF(OR(V198="",W198=""),"",W198-V198)</f>
        <v/>
      </c>
      <c r="Y198" s="27">
        <f>IF(X198="","",X198/V198)</f>
        <v/>
      </c>
    </row>
    <row r="199">
      <c r="A199" t="inlineStr">
        <is>
          <t>Guardião (Guardian)|Elmo|T8.0</t>
        </is>
      </c>
      <c r="B199" t="inlineStr">
        <is>
          <t>Guardião (Guardian)</t>
        </is>
      </c>
      <c r="C199" t="inlineStr">
        <is>
          <t>Elmo</t>
        </is>
      </c>
      <c r="D199" t="inlineStr">
        <is>
          <t>T8.0</t>
        </is>
      </c>
      <c r="E199" t="n">
        <v>8</v>
      </c>
      <c r="F199" t="n">
        <v>0</v>
      </c>
      <c r="G199" t="n">
        <v>8</v>
      </c>
      <c r="H199" s="22" t="n"/>
      <c r="I199" s="22" t="n"/>
      <c r="J199" s="22" t="n"/>
      <c r="K199" s="22" t="n"/>
      <c r="L199" s="22" t="n"/>
      <c r="M199" s="22" t="n"/>
      <c r="N199" s="22" t="n"/>
      <c r="O199" s="23">
        <f>IF(COUNT(H199:N199)=0,"",MAX(H199:N199))</f>
        <v/>
      </c>
      <c r="P199" s="24">
        <f>IF(O199="","",INDEX($H$3:$N$3,MATCH(O199,H199:N199,0)))</f>
        <v/>
      </c>
      <c r="Q199" s="23">
        <f>IF(Refino!$L$25="","",G199*Refino!$L$25*(1-RetCraft))</f>
        <v/>
      </c>
      <c r="R199" t="n">
        <v>0</v>
      </c>
      <c r="S199" t="inlineStr">
        <is>
          <t>-</t>
        </is>
      </c>
      <c r="T199" s="25">
        <f>G199*Refino!$D$25</f>
        <v/>
      </c>
      <c r="U199" s="25">
        <f>T199*0.1125*FeeCraft/100</f>
        <v/>
      </c>
      <c r="V199" s="23">
        <f>IF(OR(Q199="",R199=""),"",Q199+R199+U199)</f>
        <v/>
      </c>
      <c r="W199" s="23">
        <f>IF(O199="","",O199*(1-TaxaVenda))</f>
        <v/>
      </c>
      <c r="X199" s="26">
        <f>IF(OR(V199="",W199=""),"",W199-V199)</f>
        <v/>
      </c>
      <c r="Y199" s="27">
        <f>IF(X199="","",X199/V199)</f>
        <v/>
      </c>
    </row>
    <row r="200">
      <c r="A200" t="inlineStr">
        <is>
          <t>Guardião (Guardian)|Elmo|T8.1</t>
        </is>
      </c>
      <c r="B200" t="inlineStr">
        <is>
          <t>Guardião (Guardian)</t>
        </is>
      </c>
      <c r="C200" t="inlineStr">
        <is>
          <t>Elmo</t>
        </is>
      </c>
      <c r="D200" t="inlineStr">
        <is>
          <t>T8.1</t>
        </is>
      </c>
      <c r="E200" t="n">
        <v>8</v>
      </c>
      <c r="F200" t="n">
        <v>1</v>
      </c>
      <c r="G200" t="n">
        <v>8</v>
      </c>
      <c r="H200" s="22" t="n"/>
      <c r="I200" s="22" t="n"/>
      <c r="J200" s="22" t="n"/>
      <c r="K200" s="22" t="n"/>
      <c r="L200" s="22" t="n"/>
      <c r="M200" s="22" t="n"/>
      <c r="N200" s="22" t="n"/>
      <c r="O200" s="23">
        <f>IF(COUNT(H200:N200)=0,"",MAX(H200:N200))</f>
        <v/>
      </c>
      <c r="P200" s="24">
        <f>IF(O200="","",INDEX($H$3:$N$3,MATCH(O200,H200:N200,0)))</f>
        <v/>
      </c>
      <c r="Q200" s="23">
        <f>IF(Refino!$L$26="","",G200*Refino!$L$26*(1-RetCraft))</f>
        <v/>
      </c>
      <c r="R200" t="n">
        <v>0</v>
      </c>
      <c r="S200" t="inlineStr">
        <is>
          <t>-</t>
        </is>
      </c>
      <c r="T200" s="25">
        <f>G200*Refino!$D$26</f>
        <v/>
      </c>
      <c r="U200" s="25">
        <f>T200*0.1125*FeeCraft/100</f>
        <v/>
      </c>
      <c r="V200" s="23">
        <f>IF(OR(Q200="",R200=""),"",Q200+R200+U200)</f>
        <v/>
      </c>
      <c r="W200" s="23">
        <f>IF(O200="","",O200*(1-TaxaVenda))</f>
        <v/>
      </c>
      <c r="X200" s="26">
        <f>IF(OR(V200="",W200=""),"",W200-V200)</f>
        <v/>
      </c>
      <c r="Y200" s="27">
        <f>IF(X200="","",X200/V200)</f>
        <v/>
      </c>
    </row>
    <row r="201">
      <c r="A201" t="inlineStr">
        <is>
          <t>Guardião (Guardian)|Elmo|T8.2</t>
        </is>
      </c>
      <c r="B201" t="inlineStr">
        <is>
          <t>Guardião (Guardian)</t>
        </is>
      </c>
      <c r="C201" t="inlineStr">
        <is>
          <t>Elmo</t>
        </is>
      </c>
      <c r="D201" t="inlineStr">
        <is>
          <t>T8.2</t>
        </is>
      </c>
      <c r="E201" t="n">
        <v>8</v>
      </c>
      <c r="F201" t="n">
        <v>2</v>
      </c>
      <c r="G201" t="n">
        <v>8</v>
      </c>
      <c r="H201" s="22" t="n"/>
      <c r="I201" s="22" t="n"/>
      <c r="J201" s="22" t="n"/>
      <c r="K201" s="22" t="n"/>
      <c r="L201" s="22" t="n"/>
      <c r="M201" s="22" t="n"/>
      <c r="N201" s="22" t="n"/>
      <c r="O201" s="23">
        <f>IF(COUNT(H201:N201)=0,"",MAX(H201:N201))</f>
        <v/>
      </c>
      <c r="P201" s="24">
        <f>IF(O201="","",INDEX($H$3:$N$3,MATCH(O201,H201:N201,0)))</f>
        <v/>
      </c>
      <c r="Q201" s="23">
        <f>IF(Refino!$L$27="","",G201*Refino!$L$27*(1-RetCraft))</f>
        <v/>
      </c>
      <c r="R201" t="n">
        <v>0</v>
      </c>
      <c r="S201" t="inlineStr">
        <is>
          <t>-</t>
        </is>
      </c>
      <c r="T201" s="25">
        <f>G201*Refino!$D$27</f>
        <v/>
      </c>
      <c r="U201" s="25">
        <f>T201*0.1125*FeeCraft/100</f>
        <v/>
      </c>
      <c r="V201" s="23">
        <f>IF(OR(Q201="",R201=""),"",Q201+R201+U201)</f>
        <v/>
      </c>
      <c r="W201" s="23">
        <f>IF(O201="","",O201*(1-TaxaVenda))</f>
        <v/>
      </c>
      <c r="X201" s="26">
        <f>IF(OR(V201="",W201=""),"",W201-V201)</f>
        <v/>
      </c>
      <c r="Y201" s="27">
        <f>IF(X201="","",X201/V201)</f>
        <v/>
      </c>
    </row>
    <row r="202">
      <c r="A202" t="inlineStr">
        <is>
          <t>Guardião (Guardian)|Elmo|T8.3</t>
        </is>
      </c>
      <c r="B202" t="inlineStr">
        <is>
          <t>Guardião (Guardian)</t>
        </is>
      </c>
      <c r="C202" t="inlineStr">
        <is>
          <t>Elmo</t>
        </is>
      </c>
      <c r="D202" t="inlineStr">
        <is>
          <t>T8.3</t>
        </is>
      </c>
      <c r="E202" t="n">
        <v>8</v>
      </c>
      <c r="F202" t="n">
        <v>3</v>
      </c>
      <c r="G202" t="n">
        <v>8</v>
      </c>
      <c r="H202" s="22" t="n"/>
      <c r="I202" s="22" t="n"/>
      <c r="J202" s="22" t="n"/>
      <c r="K202" s="22" t="n"/>
      <c r="L202" s="22" t="n"/>
      <c r="M202" s="22" t="n"/>
      <c r="N202" s="22" t="n"/>
      <c r="O202" s="23">
        <f>IF(COUNT(H202:N202)=0,"",MAX(H202:N202))</f>
        <v/>
      </c>
      <c r="P202" s="24">
        <f>IF(O202="","",INDEX($H$3:$N$3,MATCH(O202,H202:N202,0)))</f>
        <v/>
      </c>
      <c r="Q202" s="23">
        <f>IF(Refino!$L$28="","",G202*Refino!$L$28*(1-RetCraft))</f>
        <v/>
      </c>
      <c r="R202" t="n">
        <v>0</v>
      </c>
      <c r="S202" t="inlineStr">
        <is>
          <t>-</t>
        </is>
      </c>
      <c r="T202" s="25">
        <f>G202*Refino!$D$28</f>
        <v/>
      </c>
      <c r="U202" s="25">
        <f>T202*0.1125*FeeCraft/100</f>
        <v/>
      </c>
      <c r="V202" s="23">
        <f>IF(OR(Q202="",R202=""),"",Q202+R202+U202)</f>
        <v/>
      </c>
      <c r="W202" s="23">
        <f>IF(O202="","",O202*(1-TaxaVenda))</f>
        <v/>
      </c>
      <c r="X202" s="26">
        <f>IF(OR(V202="",W202=""),"",W202-V202)</f>
        <v/>
      </c>
      <c r="Y202" s="27">
        <f>IF(X202="","",X202/V202)</f>
        <v/>
      </c>
    </row>
    <row r="203">
      <c r="A203" t="inlineStr">
        <is>
          <t>Guardião (Guardian)|Elmo|T8.4</t>
        </is>
      </c>
      <c r="B203" t="inlineStr">
        <is>
          <t>Guardião (Guardian)</t>
        </is>
      </c>
      <c r="C203" t="inlineStr">
        <is>
          <t>Elmo</t>
        </is>
      </c>
      <c r="D203" t="inlineStr">
        <is>
          <t>T8.4</t>
        </is>
      </c>
      <c r="E203" t="n">
        <v>8</v>
      </c>
      <c r="F203" t="n">
        <v>4</v>
      </c>
      <c r="G203" t="n">
        <v>8</v>
      </c>
      <c r="H203" s="22" t="n"/>
      <c r="I203" s="22" t="n"/>
      <c r="J203" s="22" t="n"/>
      <c r="K203" s="22" t="n"/>
      <c r="L203" s="22" t="n"/>
      <c r="M203" s="22" t="n"/>
      <c r="N203" s="22" t="n"/>
      <c r="O203" s="23">
        <f>IF(COUNT(H203:N203)=0,"",MAX(H203:N203))</f>
        <v/>
      </c>
      <c r="P203" s="24">
        <f>IF(O203="","",INDEX($H$3:$N$3,MATCH(O203,H203:N203,0)))</f>
        <v/>
      </c>
      <c r="Q203" s="23">
        <f>IF(Refino!$L$29="","",G203*Refino!$L$29*(1-RetCraft))</f>
        <v/>
      </c>
      <c r="R203" t="n">
        <v>0</v>
      </c>
      <c r="S203" t="inlineStr">
        <is>
          <t>-</t>
        </is>
      </c>
      <c r="T203" s="25">
        <f>G203*Refino!$D$29</f>
        <v/>
      </c>
      <c r="U203" s="25">
        <f>T203*0.1125*FeeCraft/100</f>
        <v/>
      </c>
      <c r="V203" s="23">
        <f>IF(OR(Q203="",R203=""),"",Q203+R203+U203)</f>
        <v/>
      </c>
      <c r="W203" s="23">
        <f>IF(O203="","",O203*(1-TaxaVenda))</f>
        <v/>
      </c>
      <c r="X203" s="26">
        <f>IF(OR(V203="",W203=""),"",W203-V203)</f>
        <v/>
      </c>
      <c r="Y203" s="27">
        <f>IF(X203="","",X203/V203)</f>
        <v/>
      </c>
    </row>
    <row r="204">
      <c r="A204" t="inlineStr">
        <is>
          <t>Guardião (Guardian)|Botas|T4.0</t>
        </is>
      </c>
      <c r="B204" t="inlineStr">
        <is>
          <t>Guardião (Guardian)</t>
        </is>
      </c>
      <c r="C204" t="inlineStr">
        <is>
          <t>Botas</t>
        </is>
      </c>
      <c r="D204" t="inlineStr">
        <is>
          <t>T4.0</t>
        </is>
      </c>
      <c r="E204" t="n">
        <v>4</v>
      </c>
      <c r="F204" t="n">
        <v>0</v>
      </c>
      <c r="G204" t="n">
        <v>8</v>
      </c>
      <c r="H204" s="22" t="n"/>
      <c r="I204" s="22" t="n"/>
      <c r="J204" s="22" t="n"/>
      <c r="K204" s="22" t="n"/>
      <c r="L204" s="22" t="n"/>
      <c r="M204" s="22" t="n"/>
      <c r="N204" s="22" t="n"/>
      <c r="O204" s="23">
        <f>IF(COUNT(H204:N204)=0,"",MAX(H204:N204))</f>
        <v/>
      </c>
      <c r="P204" s="24">
        <f>IF(O204="","",INDEX($H$3:$N$3,MATCH(O204,H204:N204,0)))</f>
        <v/>
      </c>
      <c r="Q204" s="23">
        <f>IF(Refino!$L$5="","",G204*Refino!$L$5*(1-RetCraft))</f>
        <v/>
      </c>
      <c r="R204" t="n">
        <v>0</v>
      </c>
      <c r="S204" t="inlineStr">
        <is>
          <t>-</t>
        </is>
      </c>
      <c r="T204" s="25">
        <f>G204*Refino!$D$5</f>
        <v/>
      </c>
      <c r="U204" s="25">
        <f>T204*0.1125*FeeCraft/100</f>
        <v/>
      </c>
      <c r="V204" s="23">
        <f>IF(OR(Q204="",R204=""),"",Q204+R204+U204)</f>
        <v/>
      </c>
      <c r="W204" s="23">
        <f>IF(O204="","",O204*(1-TaxaVenda))</f>
        <v/>
      </c>
      <c r="X204" s="26">
        <f>IF(OR(V204="",W204=""),"",W204-V204)</f>
        <v/>
      </c>
      <c r="Y204" s="27">
        <f>IF(X204="","",X204/V204)</f>
        <v/>
      </c>
    </row>
    <row r="205">
      <c r="A205" t="inlineStr">
        <is>
          <t>Guardião (Guardian)|Botas|T4.1</t>
        </is>
      </c>
      <c r="B205" t="inlineStr">
        <is>
          <t>Guardião (Guardian)</t>
        </is>
      </c>
      <c r="C205" t="inlineStr">
        <is>
          <t>Botas</t>
        </is>
      </c>
      <c r="D205" t="inlineStr">
        <is>
          <t>T4.1</t>
        </is>
      </c>
      <c r="E205" t="n">
        <v>4</v>
      </c>
      <c r="F205" t="n">
        <v>1</v>
      </c>
      <c r="G205" t="n">
        <v>8</v>
      </c>
      <c r="H205" s="22" t="n"/>
      <c r="I205" s="22" t="n"/>
      <c r="J205" s="22" t="n"/>
      <c r="K205" s="22" t="n"/>
      <c r="L205" s="22" t="n"/>
      <c r="M205" s="22" t="n"/>
      <c r="N205" s="22" t="n"/>
      <c r="O205" s="23">
        <f>IF(COUNT(H205:N205)=0,"",MAX(H205:N205))</f>
        <v/>
      </c>
      <c r="P205" s="24">
        <f>IF(O205="","",INDEX($H$3:$N$3,MATCH(O205,H205:N205,0)))</f>
        <v/>
      </c>
      <c r="Q205" s="23">
        <f>IF(Refino!$L$6="","",G205*Refino!$L$6*(1-RetCraft))</f>
        <v/>
      </c>
      <c r="R205" t="n">
        <v>0</v>
      </c>
      <c r="S205" t="inlineStr">
        <is>
          <t>-</t>
        </is>
      </c>
      <c r="T205" s="25">
        <f>G205*Refino!$D$6</f>
        <v/>
      </c>
      <c r="U205" s="25">
        <f>T205*0.1125*FeeCraft/100</f>
        <v/>
      </c>
      <c r="V205" s="23">
        <f>IF(OR(Q205="",R205=""),"",Q205+R205+U205)</f>
        <v/>
      </c>
      <c r="W205" s="23">
        <f>IF(O205="","",O205*(1-TaxaVenda))</f>
        <v/>
      </c>
      <c r="X205" s="26">
        <f>IF(OR(V205="",W205=""),"",W205-V205)</f>
        <v/>
      </c>
      <c r="Y205" s="27">
        <f>IF(X205="","",X205/V205)</f>
        <v/>
      </c>
    </row>
    <row r="206">
      <c r="A206" t="inlineStr">
        <is>
          <t>Guardião (Guardian)|Botas|T4.2</t>
        </is>
      </c>
      <c r="B206" t="inlineStr">
        <is>
          <t>Guardião (Guardian)</t>
        </is>
      </c>
      <c r="C206" t="inlineStr">
        <is>
          <t>Botas</t>
        </is>
      </c>
      <c r="D206" t="inlineStr">
        <is>
          <t>T4.2</t>
        </is>
      </c>
      <c r="E206" t="n">
        <v>4</v>
      </c>
      <c r="F206" t="n">
        <v>2</v>
      </c>
      <c r="G206" t="n">
        <v>8</v>
      </c>
      <c r="H206" s="22" t="n"/>
      <c r="I206" s="22" t="n"/>
      <c r="J206" s="22" t="n"/>
      <c r="K206" s="22" t="n"/>
      <c r="L206" s="22" t="n"/>
      <c r="M206" s="22" t="n"/>
      <c r="N206" s="22" t="n"/>
      <c r="O206" s="23">
        <f>IF(COUNT(H206:N206)=0,"",MAX(H206:N206))</f>
        <v/>
      </c>
      <c r="P206" s="24">
        <f>IF(O206="","",INDEX($H$3:$N$3,MATCH(O206,H206:N206,0)))</f>
        <v/>
      </c>
      <c r="Q206" s="23">
        <f>IF(Refino!$L$7="","",G206*Refino!$L$7*(1-RetCraft))</f>
        <v/>
      </c>
      <c r="R206" t="n">
        <v>0</v>
      </c>
      <c r="S206" t="inlineStr">
        <is>
          <t>-</t>
        </is>
      </c>
      <c r="T206" s="25">
        <f>G206*Refino!$D$7</f>
        <v/>
      </c>
      <c r="U206" s="25">
        <f>T206*0.1125*FeeCraft/100</f>
        <v/>
      </c>
      <c r="V206" s="23">
        <f>IF(OR(Q206="",R206=""),"",Q206+R206+U206)</f>
        <v/>
      </c>
      <c r="W206" s="23">
        <f>IF(O206="","",O206*(1-TaxaVenda))</f>
        <v/>
      </c>
      <c r="X206" s="26">
        <f>IF(OR(V206="",W206=""),"",W206-V206)</f>
        <v/>
      </c>
      <c r="Y206" s="27">
        <f>IF(X206="","",X206/V206)</f>
        <v/>
      </c>
    </row>
    <row r="207">
      <c r="A207" t="inlineStr">
        <is>
          <t>Guardião (Guardian)|Botas|T4.3</t>
        </is>
      </c>
      <c r="B207" t="inlineStr">
        <is>
          <t>Guardião (Guardian)</t>
        </is>
      </c>
      <c r="C207" t="inlineStr">
        <is>
          <t>Botas</t>
        </is>
      </c>
      <c r="D207" t="inlineStr">
        <is>
          <t>T4.3</t>
        </is>
      </c>
      <c r="E207" t="n">
        <v>4</v>
      </c>
      <c r="F207" t="n">
        <v>3</v>
      </c>
      <c r="G207" t="n">
        <v>8</v>
      </c>
      <c r="H207" s="22" t="n"/>
      <c r="I207" s="22" t="n"/>
      <c r="J207" s="22" t="n"/>
      <c r="K207" s="22" t="n"/>
      <c r="L207" s="22" t="n"/>
      <c r="M207" s="22" t="n"/>
      <c r="N207" s="22" t="n"/>
      <c r="O207" s="23">
        <f>IF(COUNT(H207:N207)=0,"",MAX(H207:N207))</f>
        <v/>
      </c>
      <c r="P207" s="24">
        <f>IF(O207="","",INDEX($H$3:$N$3,MATCH(O207,H207:N207,0)))</f>
        <v/>
      </c>
      <c r="Q207" s="23">
        <f>IF(Refino!$L$8="","",G207*Refino!$L$8*(1-RetCraft))</f>
        <v/>
      </c>
      <c r="R207" t="n">
        <v>0</v>
      </c>
      <c r="S207" t="inlineStr">
        <is>
          <t>-</t>
        </is>
      </c>
      <c r="T207" s="25">
        <f>G207*Refino!$D$8</f>
        <v/>
      </c>
      <c r="U207" s="25">
        <f>T207*0.1125*FeeCraft/100</f>
        <v/>
      </c>
      <c r="V207" s="23">
        <f>IF(OR(Q207="",R207=""),"",Q207+R207+U207)</f>
        <v/>
      </c>
      <c r="W207" s="23">
        <f>IF(O207="","",O207*(1-TaxaVenda))</f>
        <v/>
      </c>
      <c r="X207" s="26">
        <f>IF(OR(V207="",W207=""),"",W207-V207)</f>
        <v/>
      </c>
      <c r="Y207" s="27">
        <f>IF(X207="","",X207/V207)</f>
        <v/>
      </c>
    </row>
    <row r="208">
      <c r="A208" t="inlineStr">
        <is>
          <t>Guardião (Guardian)|Botas|T4.4</t>
        </is>
      </c>
      <c r="B208" t="inlineStr">
        <is>
          <t>Guardião (Guardian)</t>
        </is>
      </c>
      <c r="C208" t="inlineStr">
        <is>
          <t>Botas</t>
        </is>
      </c>
      <c r="D208" t="inlineStr">
        <is>
          <t>T4.4</t>
        </is>
      </c>
      <c r="E208" t="n">
        <v>4</v>
      </c>
      <c r="F208" t="n">
        <v>4</v>
      </c>
      <c r="G208" t="n">
        <v>8</v>
      </c>
      <c r="H208" s="22" t="n"/>
      <c r="I208" s="22" t="n"/>
      <c r="J208" s="22" t="n"/>
      <c r="K208" s="22" t="n"/>
      <c r="L208" s="22" t="n"/>
      <c r="M208" s="22" t="n"/>
      <c r="N208" s="22" t="n"/>
      <c r="O208" s="23">
        <f>IF(COUNT(H208:N208)=0,"",MAX(H208:N208))</f>
        <v/>
      </c>
      <c r="P208" s="24">
        <f>IF(O208="","",INDEX($H$3:$N$3,MATCH(O208,H208:N208,0)))</f>
        <v/>
      </c>
      <c r="Q208" s="23">
        <f>IF(Refino!$L$9="","",G208*Refino!$L$9*(1-RetCraft))</f>
        <v/>
      </c>
      <c r="R208" t="n">
        <v>0</v>
      </c>
      <c r="S208" t="inlineStr">
        <is>
          <t>-</t>
        </is>
      </c>
      <c r="T208" s="25">
        <f>G208*Refino!$D$9</f>
        <v/>
      </c>
      <c r="U208" s="25">
        <f>T208*0.1125*FeeCraft/100</f>
        <v/>
      </c>
      <c r="V208" s="23">
        <f>IF(OR(Q208="",R208=""),"",Q208+R208+U208)</f>
        <v/>
      </c>
      <c r="W208" s="23">
        <f>IF(O208="","",O208*(1-TaxaVenda))</f>
        <v/>
      </c>
      <c r="X208" s="26">
        <f>IF(OR(V208="",W208=""),"",W208-V208)</f>
        <v/>
      </c>
      <c r="Y208" s="27">
        <f>IF(X208="","",X208/V208)</f>
        <v/>
      </c>
    </row>
    <row r="209">
      <c r="A209" t="inlineStr">
        <is>
          <t>Guardião (Guardian)|Botas|T5.0</t>
        </is>
      </c>
      <c r="B209" t="inlineStr">
        <is>
          <t>Guardião (Guardian)</t>
        </is>
      </c>
      <c r="C209" t="inlineStr">
        <is>
          <t>Botas</t>
        </is>
      </c>
      <c r="D209" t="inlineStr">
        <is>
          <t>T5.0</t>
        </is>
      </c>
      <c r="E209" t="n">
        <v>5</v>
      </c>
      <c r="F209" t="n">
        <v>0</v>
      </c>
      <c r="G209" t="n">
        <v>8</v>
      </c>
      <c r="H209" s="22" t="n"/>
      <c r="I209" s="22" t="n"/>
      <c r="J209" s="22" t="n"/>
      <c r="K209" s="22" t="n"/>
      <c r="L209" s="22" t="n"/>
      <c r="M209" s="22" t="n"/>
      <c r="N209" s="22" t="n"/>
      <c r="O209" s="23">
        <f>IF(COUNT(H209:N209)=0,"",MAX(H209:N209))</f>
        <v/>
      </c>
      <c r="P209" s="24">
        <f>IF(O209="","",INDEX($H$3:$N$3,MATCH(O209,H209:N209,0)))</f>
        <v/>
      </c>
      <c r="Q209" s="23">
        <f>IF(Refino!$L$10="","",G209*Refino!$L$10*(1-RetCraft))</f>
        <v/>
      </c>
      <c r="R209" t="n">
        <v>0</v>
      </c>
      <c r="S209" t="inlineStr">
        <is>
          <t>-</t>
        </is>
      </c>
      <c r="T209" s="25">
        <f>G209*Refino!$D$10</f>
        <v/>
      </c>
      <c r="U209" s="25">
        <f>T209*0.1125*FeeCraft/100</f>
        <v/>
      </c>
      <c r="V209" s="23">
        <f>IF(OR(Q209="",R209=""),"",Q209+R209+U209)</f>
        <v/>
      </c>
      <c r="W209" s="23">
        <f>IF(O209="","",O209*(1-TaxaVenda))</f>
        <v/>
      </c>
      <c r="X209" s="26">
        <f>IF(OR(V209="",W209=""),"",W209-V209)</f>
        <v/>
      </c>
      <c r="Y209" s="27">
        <f>IF(X209="","",X209/V209)</f>
        <v/>
      </c>
    </row>
    <row r="210">
      <c r="A210" t="inlineStr">
        <is>
          <t>Guardião (Guardian)|Botas|T5.1</t>
        </is>
      </c>
      <c r="B210" t="inlineStr">
        <is>
          <t>Guardião (Guardian)</t>
        </is>
      </c>
      <c r="C210" t="inlineStr">
        <is>
          <t>Botas</t>
        </is>
      </c>
      <c r="D210" t="inlineStr">
        <is>
          <t>T5.1</t>
        </is>
      </c>
      <c r="E210" t="n">
        <v>5</v>
      </c>
      <c r="F210" t="n">
        <v>1</v>
      </c>
      <c r="G210" t="n">
        <v>8</v>
      </c>
      <c r="H210" s="22" t="n"/>
      <c r="I210" s="22" t="n"/>
      <c r="J210" s="22" t="n"/>
      <c r="K210" s="22" t="n"/>
      <c r="L210" s="22" t="n"/>
      <c r="M210" s="22" t="n"/>
      <c r="N210" s="22" t="n"/>
      <c r="O210" s="23">
        <f>IF(COUNT(H210:N210)=0,"",MAX(H210:N210))</f>
        <v/>
      </c>
      <c r="P210" s="24">
        <f>IF(O210="","",INDEX($H$3:$N$3,MATCH(O210,H210:N210,0)))</f>
        <v/>
      </c>
      <c r="Q210" s="23">
        <f>IF(Refino!$L$11="","",G210*Refino!$L$11*(1-RetCraft))</f>
        <v/>
      </c>
      <c r="R210" t="n">
        <v>0</v>
      </c>
      <c r="S210" t="inlineStr">
        <is>
          <t>-</t>
        </is>
      </c>
      <c r="T210" s="25">
        <f>G210*Refino!$D$11</f>
        <v/>
      </c>
      <c r="U210" s="25">
        <f>T210*0.1125*FeeCraft/100</f>
        <v/>
      </c>
      <c r="V210" s="23">
        <f>IF(OR(Q210="",R210=""),"",Q210+R210+U210)</f>
        <v/>
      </c>
      <c r="W210" s="23">
        <f>IF(O210="","",O210*(1-TaxaVenda))</f>
        <v/>
      </c>
      <c r="X210" s="26">
        <f>IF(OR(V210="",W210=""),"",W210-V210)</f>
        <v/>
      </c>
      <c r="Y210" s="27">
        <f>IF(X210="","",X210/V210)</f>
        <v/>
      </c>
    </row>
    <row r="211">
      <c r="A211" t="inlineStr">
        <is>
          <t>Guardião (Guardian)|Botas|T5.2</t>
        </is>
      </c>
      <c r="B211" t="inlineStr">
        <is>
          <t>Guardião (Guardian)</t>
        </is>
      </c>
      <c r="C211" t="inlineStr">
        <is>
          <t>Botas</t>
        </is>
      </c>
      <c r="D211" t="inlineStr">
        <is>
          <t>T5.2</t>
        </is>
      </c>
      <c r="E211" t="n">
        <v>5</v>
      </c>
      <c r="F211" t="n">
        <v>2</v>
      </c>
      <c r="G211" t="n">
        <v>8</v>
      </c>
      <c r="H211" s="22" t="n"/>
      <c r="I211" s="22" t="n"/>
      <c r="J211" s="22" t="n"/>
      <c r="K211" s="22" t="n"/>
      <c r="L211" s="22" t="n"/>
      <c r="M211" s="22" t="n"/>
      <c r="N211" s="22" t="n"/>
      <c r="O211" s="23">
        <f>IF(COUNT(H211:N211)=0,"",MAX(H211:N211))</f>
        <v/>
      </c>
      <c r="P211" s="24">
        <f>IF(O211="","",INDEX($H$3:$N$3,MATCH(O211,H211:N211,0)))</f>
        <v/>
      </c>
      <c r="Q211" s="23">
        <f>IF(Refino!$L$12="","",G211*Refino!$L$12*(1-RetCraft))</f>
        <v/>
      </c>
      <c r="R211" t="n">
        <v>0</v>
      </c>
      <c r="S211" t="inlineStr">
        <is>
          <t>-</t>
        </is>
      </c>
      <c r="T211" s="25">
        <f>G211*Refino!$D$12</f>
        <v/>
      </c>
      <c r="U211" s="25">
        <f>T211*0.1125*FeeCraft/100</f>
        <v/>
      </c>
      <c r="V211" s="23">
        <f>IF(OR(Q211="",R211=""),"",Q211+R211+U211)</f>
        <v/>
      </c>
      <c r="W211" s="23">
        <f>IF(O211="","",O211*(1-TaxaVenda))</f>
        <v/>
      </c>
      <c r="X211" s="26">
        <f>IF(OR(V211="",W211=""),"",W211-V211)</f>
        <v/>
      </c>
      <c r="Y211" s="27">
        <f>IF(X211="","",X211/V211)</f>
        <v/>
      </c>
    </row>
    <row r="212">
      <c r="A212" t="inlineStr">
        <is>
          <t>Guardião (Guardian)|Botas|T5.3</t>
        </is>
      </c>
      <c r="B212" t="inlineStr">
        <is>
          <t>Guardião (Guardian)</t>
        </is>
      </c>
      <c r="C212" t="inlineStr">
        <is>
          <t>Botas</t>
        </is>
      </c>
      <c r="D212" t="inlineStr">
        <is>
          <t>T5.3</t>
        </is>
      </c>
      <c r="E212" t="n">
        <v>5</v>
      </c>
      <c r="F212" t="n">
        <v>3</v>
      </c>
      <c r="G212" t="n">
        <v>8</v>
      </c>
      <c r="H212" s="22" t="n"/>
      <c r="I212" s="22" t="n"/>
      <c r="J212" s="22" t="n"/>
      <c r="K212" s="22" t="n"/>
      <c r="L212" s="22" t="n"/>
      <c r="M212" s="22" t="n"/>
      <c r="N212" s="22" t="n"/>
      <c r="O212" s="23">
        <f>IF(COUNT(H212:N212)=0,"",MAX(H212:N212))</f>
        <v/>
      </c>
      <c r="P212" s="24">
        <f>IF(O212="","",INDEX($H$3:$N$3,MATCH(O212,H212:N212,0)))</f>
        <v/>
      </c>
      <c r="Q212" s="23">
        <f>IF(Refino!$L$13="","",G212*Refino!$L$13*(1-RetCraft))</f>
        <v/>
      </c>
      <c r="R212" t="n">
        <v>0</v>
      </c>
      <c r="S212" t="inlineStr">
        <is>
          <t>-</t>
        </is>
      </c>
      <c r="T212" s="25">
        <f>G212*Refino!$D$13</f>
        <v/>
      </c>
      <c r="U212" s="25">
        <f>T212*0.1125*FeeCraft/100</f>
        <v/>
      </c>
      <c r="V212" s="23">
        <f>IF(OR(Q212="",R212=""),"",Q212+R212+U212)</f>
        <v/>
      </c>
      <c r="W212" s="23">
        <f>IF(O212="","",O212*(1-TaxaVenda))</f>
        <v/>
      </c>
      <c r="X212" s="26">
        <f>IF(OR(V212="",W212=""),"",W212-V212)</f>
        <v/>
      </c>
      <c r="Y212" s="27">
        <f>IF(X212="","",X212/V212)</f>
        <v/>
      </c>
    </row>
    <row r="213">
      <c r="A213" t="inlineStr">
        <is>
          <t>Guardião (Guardian)|Botas|T5.4</t>
        </is>
      </c>
      <c r="B213" t="inlineStr">
        <is>
          <t>Guardião (Guardian)</t>
        </is>
      </c>
      <c r="C213" t="inlineStr">
        <is>
          <t>Botas</t>
        </is>
      </c>
      <c r="D213" t="inlineStr">
        <is>
          <t>T5.4</t>
        </is>
      </c>
      <c r="E213" t="n">
        <v>5</v>
      </c>
      <c r="F213" t="n">
        <v>4</v>
      </c>
      <c r="G213" t="n">
        <v>8</v>
      </c>
      <c r="H213" s="22" t="n"/>
      <c r="I213" s="22" t="n"/>
      <c r="J213" s="22" t="n"/>
      <c r="K213" s="22" t="n"/>
      <c r="L213" s="22" t="n"/>
      <c r="M213" s="22" t="n"/>
      <c r="N213" s="22" t="n"/>
      <c r="O213" s="23">
        <f>IF(COUNT(H213:N213)=0,"",MAX(H213:N213))</f>
        <v/>
      </c>
      <c r="P213" s="24">
        <f>IF(O213="","",INDEX($H$3:$N$3,MATCH(O213,H213:N213,0)))</f>
        <v/>
      </c>
      <c r="Q213" s="23">
        <f>IF(Refino!$L$14="","",G213*Refino!$L$14*(1-RetCraft))</f>
        <v/>
      </c>
      <c r="R213" t="n">
        <v>0</v>
      </c>
      <c r="S213" t="inlineStr">
        <is>
          <t>-</t>
        </is>
      </c>
      <c r="T213" s="25">
        <f>G213*Refino!$D$14</f>
        <v/>
      </c>
      <c r="U213" s="25">
        <f>T213*0.1125*FeeCraft/100</f>
        <v/>
      </c>
      <c r="V213" s="23">
        <f>IF(OR(Q213="",R213=""),"",Q213+R213+U213)</f>
        <v/>
      </c>
      <c r="W213" s="23">
        <f>IF(O213="","",O213*(1-TaxaVenda))</f>
        <v/>
      </c>
      <c r="X213" s="26">
        <f>IF(OR(V213="",W213=""),"",W213-V213)</f>
        <v/>
      </c>
      <c r="Y213" s="27">
        <f>IF(X213="","",X213/V213)</f>
        <v/>
      </c>
    </row>
    <row r="214">
      <c r="A214" t="inlineStr">
        <is>
          <t>Guardião (Guardian)|Botas|T6.0</t>
        </is>
      </c>
      <c r="B214" t="inlineStr">
        <is>
          <t>Guardião (Guardian)</t>
        </is>
      </c>
      <c r="C214" t="inlineStr">
        <is>
          <t>Botas</t>
        </is>
      </c>
      <c r="D214" t="inlineStr">
        <is>
          <t>T6.0</t>
        </is>
      </c>
      <c r="E214" t="n">
        <v>6</v>
      </c>
      <c r="F214" t="n">
        <v>0</v>
      </c>
      <c r="G214" t="n">
        <v>8</v>
      </c>
      <c r="H214" s="22" t="n"/>
      <c r="I214" s="22" t="n"/>
      <c r="J214" s="22" t="n"/>
      <c r="K214" s="22" t="n"/>
      <c r="L214" s="22" t="n"/>
      <c r="M214" s="22" t="n"/>
      <c r="N214" s="22" t="n"/>
      <c r="O214" s="23">
        <f>IF(COUNT(H214:N214)=0,"",MAX(H214:N214))</f>
        <v/>
      </c>
      <c r="P214" s="24">
        <f>IF(O214="","",INDEX($H$3:$N$3,MATCH(O214,H214:N214,0)))</f>
        <v/>
      </c>
      <c r="Q214" s="23">
        <f>IF(Refino!$L$15="","",G214*Refino!$L$15*(1-RetCraft))</f>
        <v/>
      </c>
      <c r="R214" t="n">
        <v>0</v>
      </c>
      <c r="S214" t="inlineStr">
        <is>
          <t>-</t>
        </is>
      </c>
      <c r="T214" s="25">
        <f>G214*Refino!$D$15</f>
        <v/>
      </c>
      <c r="U214" s="25">
        <f>T214*0.1125*FeeCraft/100</f>
        <v/>
      </c>
      <c r="V214" s="23">
        <f>IF(OR(Q214="",R214=""),"",Q214+R214+U214)</f>
        <v/>
      </c>
      <c r="W214" s="23">
        <f>IF(O214="","",O214*(1-TaxaVenda))</f>
        <v/>
      </c>
      <c r="X214" s="26">
        <f>IF(OR(V214="",W214=""),"",W214-V214)</f>
        <v/>
      </c>
      <c r="Y214" s="27">
        <f>IF(X214="","",X214/V214)</f>
        <v/>
      </c>
    </row>
    <row r="215">
      <c r="A215" t="inlineStr">
        <is>
          <t>Guardião (Guardian)|Botas|T6.1</t>
        </is>
      </c>
      <c r="B215" t="inlineStr">
        <is>
          <t>Guardião (Guardian)</t>
        </is>
      </c>
      <c r="C215" t="inlineStr">
        <is>
          <t>Botas</t>
        </is>
      </c>
      <c r="D215" t="inlineStr">
        <is>
          <t>T6.1</t>
        </is>
      </c>
      <c r="E215" t="n">
        <v>6</v>
      </c>
      <c r="F215" t="n">
        <v>1</v>
      </c>
      <c r="G215" t="n">
        <v>8</v>
      </c>
      <c r="H215" s="22" t="n"/>
      <c r="I215" s="22" t="n"/>
      <c r="J215" s="22" t="n"/>
      <c r="K215" s="22" t="n"/>
      <c r="L215" s="22" t="n"/>
      <c r="M215" s="22" t="n"/>
      <c r="N215" s="22" t="n"/>
      <c r="O215" s="23">
        <f>IF(COUNT(H215:N215)=0,"",MAX(H215:N215))</f>
        <v/>
      </c>
      <c r="P215" s="24">
        <f>IF(O215="","",INDEX($H$3:$N$3,MATCH(O215,H215:N215,0)))</f>
        <v/>
      </c>
      <c r="Q215" s="23">
        <f>IF(Refino!$L$16="","",G215*Refino!$L$16*(1-RetCraft))</f>
        <v/>
      </c>
      <c r="R215" t="n">
        <v>0</v>
      </c>
      <c r="S215" t="inlineStr">
        <is>
          <t>-</t>
        </is>
      </c>
      <c r="T215" s="25">
        <f>G215*Refino!$D$16</f>
        <v/>
      </c>
      <c r="U215" s="25">
        <f>T215*0.1125*FeeCraft/100</f>
        <v/>
      </c>
      <c r="V215" s="23">
        <f>IF(OR(Q215="",R215=""),"",Q215+R215+U215)</f>
        <v/>
      </c>
      <c r="W215" s="23">
        <f>IF(O215="","",O215*(1-TaxaVenda))</f>
        <v/>
      </c>
      <c r="X215" s="26">
        <f>IF(OR(V215="",W215=""),"",W215-V215)</f>
        <v/>
      </c>
      <c r="Y215" s="27">
        <f>IF(X215="","",X215/V215)</f>
        <v/>
      </c>
    </row>
    <row r="216">
      <c r="A216" t="inlineStr">
        <is>
          <t>Guardião (Guardian)|Botas|T6.2</t>
        </is>
      </c>
      <c r="B216" t="inlineStr">
        <is>
          <t>Guardião (Guardian)</t>
        </is>
      </c>
      <c r="C216" t="inlineStr">
        <is>
          <t>Botas</t>
        </is>
      </c>
      <c r="D216" t="inlineStr">
        <is>
          <t>T6.2</t>
        </is>
      </c>
      <c r="E216" t="n">
        <v>6</v>
      </c>
      <c r="F216" t="n">
        <v>2</v>
      </c>
      <c r="G216" t="n">
        <v>8</v>
      </c>
      <c r="H216" s="22" t="n"/>
      <c r="I216" s="22" t="n"/>
      <c r="J216" s="22" t="n"/>
      <c r="K216" s="22" t="n"/>
      <c r="L216" s="22" t="n"/>
      <c r="M216" s="22" t="n"/>
      <c r="N216" s="22" t="n"/>
      <c r="O216" s="23">
        <f>IF(COUNT(H216:N216)=0,"",MAX(H216:N216))</f>
        <v/>
      </c>
      <c r="P216" s="24">
        <f>IF(O216="","",INDEX($H$3:$N$3,MATCH(O216,H216:N216,0)))</f>
        <v/>
      </c>
      <c r="Q216" s="23">
        <f>IF(Refino!$L$17="","",G216*Refino!$L$17*(1-RetCraft))</f>
        <v/>
      </c>
      <c r="R216" t="n">
        <v>0</v>
      </c>
      <c r="S216" t="inlineStr">
        <is>
          <t>-</t>
        </is>
      </c>
      <c r="T216" s="25">
        <f>G216*Refino!$D$17</f>
        <v/>
      </c>
      <c r="U216" s="25">
        <f>T216*0.1125*FeeCraft/100</f>
        <v/>
      </c>
      <c r="V216" s="23">
        <f>IF(OR(Q216="",R216=""),"",Q216+R216+U216)</f>
        <v/>
      </c>
      <c r="W216" s="23">
        <f>IF(O216="","",O216*(1-TaxaVenda))</f>
        <v/>
      </c>
      <c r="X216" s="26">
        <f>IF(OR(V216="",W216=""),"",W216-V216)</f>
        <v/>
      </c>
      <c r="Y216" s="27">
        <f>IF(X216="","",X216/V216)</f>
        <v/>
      </c>
    </row>
    <row r="217">
      <c r="A217" t="inlineStr">
        <is>
          <t>Guardião (Guardian)|Botas|T6.3</t>
        </is>
      </c>
      <c r="B217" t="inlineStr">
        <is>
          <t>Guardião (Guardian)</t>
        </is>
      </c>
      <c r="C217" t="inlineStr">
        <is>
          <t>Botas</t>
        </is>
      </c>
      <c r="D217" t="inlineStr">
        <is>
          <t>T6.3</t>
        </is>
      </c>
      <c r="E217" t="n">
        <v>6</v>
      </c>
      <c r="F217" t="n">
        <v>3</v>
      </c>
      <c r="G217" t="n">
        <v>8</v>
      </c>
      <c r="H217" s="22" t="n"/>
      <c r="I217" s="22" t="n"/>
      <c r="J217" s="22" t="n"/>
      <c r="K217" s="22" t="n"/>
      <c r="L217" s="22" t="n"/>
      <c r="M217" s="22" t="n"/>
      <c r="N217" s="22" t="n"/>
      <c r="O217" s="23">
        <f>IF(COUNT(H217:N217)=0,"",MAX(H217:N217))</f>
        <v/>
      </c>
      <c r="P217" s="24">
        <f>IF(O217="","",INDEX($H$3:$N$3,MATCH(O217,H217:N217,0)))</f>
        <v/>
      </c>
      <c r="Q217" s="23">
        <f>IF(Refino!$L$18="","",G217*Refino!$L$18*(1-RetCraft))</f>
        <v/>
      </c>
      <c r="R217" t="n">
        <v>0</v>
      </c>
      <c r="S217" t="inlineStr">
        <is>
          <t>-</t>
        </is>
      </c>
      <c r="T217" s="25">
        <f>G217*Refino!$D$18</f>
        <v/>
      </c>
      <c r="U217" s="25">
        <f>T217*0.1125*FeeCraft/100</f>
        <v/>
      </c>
      <c r="V217" s="23">
        <f>IF(OR(Q217="",R217=""),"",Q217+R217+U217)</f>
        <v/>
      </c>
      <c r="W217" s="23">
        <f>IF(O217="","",O217*(1-TaxaVenda))</f>
        <v/>
      </c>
      <c r="X217" s="26">
        <f>IF(OR(V217="",W217=""),"",W217-V217)</f>
        <v/>
      </c>
      <c r="Y217" s="27">
        <f>IF(X217="","",X217/V217)</f>
        <v/>
      </c>
    </row>
    <row r="218">
      <c r="A218" t="inlineStr">
        <is>
          <t>Guardião (Guardian)|Botas|T6.4</t>
        </is>
      </c>
      <c r="B218" t="inlineStr">
        <is>
          <t>Guardião (Guardian)</t>
        </is>
      </c>
      <c r="C218" t="inlineStr">
        <is>
          <t>Botas</t>
        </is>
      </c>
      <c r="D218" t="inlineStr">
        <is>
          <t>T6.4</t>
        </is>
      </c>
      <c r="E218" t="n">
        <v>6</v>
      </c>
      <c r="F218" t="n">
        <v>4</v>
      </c>
      <c r="G218" t="n">
        <v>8</v>
      </c>
      <c r="H218" s="22" t="n"/>
      <c r="I218" s="22" t="n"/>
      <c r="J218" s="22" t="n"/>
      <c r="K218" s="22" t="n"/>
      <c r="L218" s="22" t="n"/>
      <c r="M218" s="22" t="n"/>
      <c r="N218" s="22" t="n"/>
      <c r="O218" s="23">
        <f>IF(COUNT(H218:N218)=0,"",MAX(H218:N218))</f>
        <v/>
      </c>
      <c r="P218" s="24">
        <f>IF(O218="","",INDEX($H$3:$N$3,MATCH(O218,H218:N218,0)))</f>
        <v/>
      </c>
      <c r="Q218" s="23">
        <f>IF(Refino!$L$19="","",G218*Refino!$L$19*(1-RetCraft))</f>
        <v/>
      </c>
      <c r="R218" t="n">
        <v>0</v>
      </c>
      <c r="S218" t="inlineStr">
        <is>
          <t>-</t>
        </is>
      </c>
      <c r="T218" s="25">
        <f>G218*Refino!$D$19</f>
        <v/>
      </c>
      <c r="U218" s="25">
        <f>T218*0.1125*FeeCraft/100</f>
        <v/>
      </c>
      <c r="V218" s="23">
        <f>IF(OR(Q218="",R218=""),"",Q218+R218+U218)</f>
        <v/>
      </c>
      <c r="W218" s="23">
        <f>IF(O218="","",O218*(1-TaxaVenda))</f>
        <v/>
      </c>
      <c r="X218" s="26">
        <f>IF(OR(V218="",W218=""),"",W218-V218)</f>
        <v/>
      </c>
      <c r="Y218" s="27">
        <f>IF(X218="","",X218/V218)</f>
        <v/>
      </c>
    </row>
    <row r="219">
      <c r="A219" t="inlineStr">
        <is>
          <t>Guardião (Guardian)|Botas|T7.0</t>
        </is>
      </c>
      <c r="B219" t="inlineStr">
        <is>
          <t>Guardião (Guardian)</t>
        </is>
      </c>
      <c r="C219" t="inlineStr">
        <is>
          <t>Botas</t>
        </is>
      </c>
      <c r="D219" t="inlineStr">
        <is>
          <t>T7.0</t>
        </is>
      </c>
      <c r="E219" t="n">
        <v>7</v>
      </c>
      <c r="F219" t="n">
        <v>0</v>
      </c>
      <c r="G219" t="n">
        <v>8</v>
      </c>
      <c r="H219" s="22" t="n"/>
      <c r="I219" s="22" t="n"/>
      <c r="J219" s="22" t="n"/>
      <c r="K219" s="22" t="n"/>
      <c r="L219" s="22" t="n"/>
      <c r="M219" s="22" t="n"/>
      <c r="N219" s="22" t="n"/>
      <c r="O219" s="23">
        <f>IF(COUNT(H219:N219)=0,"",MAX(H219:N219))</f>
        <v/>
      </c>
      <c r="P219" s="24">
        <f>IF(O219="","",INDEX($H$3:$N$3,MATCH(O219,H219:N219,0)))</f>
        <v/>
      </c>
      <c r="Q219" s="23">
        <f>IF(Refino!$L$20="","",G219*Refino!$L$20*(1-RetCraft))</f>
        <v/>
      </c>
      <c r="R219" t="n">
        <v>0</v>
      </c>
      <c r="S219" t="inlineStr">
        <is>
          <t>-</t>
        </is>
      </c>
      <c r="T219" s="25">
        <f>G219*Refino!$D$20</f>
        <v/>
      </c>
      <c r="U219" s="25">
        <f>T219*0.1125*FeeCraft/100</f>
        <v/>
      </c>
      <c r="V219" s="23">
        <f>IF(OR(Q219="",R219=""),"",Q219+R219+U219)</f>
        <v/>
      </c>
      <c r="W219" s="23">
        <f>IF(O219="","",O219*(1-TaxaVenda))</f>
        <v/>
      </c>
      <c r="X219" s="26">
        <f>IF(OR(V219="",W219=""),"",W219-V219)</f>
        <v/>
      </c>
      <c r="Y219" s="27">
        <f>IF(X219="","",X219/V219)</f>
        <v/>
      </c>
    </row>
    <row r="220">
      <c r="A220" t="inlineStr">
        <is>
          <t>Guardião (Guardian)|Botas|T7.1</t>
        </is>
      </c>
      <c r="B220" t="inlineStr">
        <is>
          <t>Guardião (Guardian)</t>
        </is>
      </c>
      <c r="C220" t="inlineStr">
        <is>
          <t>Botas</t>
        </is>
      </c>
      <c r="D220" t="inlineStr">
        <is>
          <t>T7.1</t>
        </is>
      </c>
      <c r="E220" t="n">
        <v>7</v>
      </c>
      <c r="F220" t="n">
        <v>1</v>
      </c>
      <c r="G220" t="n">
        <v>8</v>
      </c>
      <c r="H220" s="22" t="n"/>
      <c r="I220" s="22" t="n"/>
      <c r="J220" s="22" t="n"/>
      <c r="K220" s="22" t="n"/>
      <c r="L220" s="22" t="n"/>
      <c r="M220" s="22" t="n"/>
      <c r="N220" s="22" t="n"/>
      <c r="O220" s="23">
        <f>IF(COUNT(H220:N220)=0,"",MAX(H220:N220))</f>
        <v/>
      </c>
      <c r="P220" s="24">
        <f>IF(O220="","",INDEX($H$3:$N$3,MATCH(O220,H220:N220,0)))</f>
        <v/>
      </c>
      <c r="Q220" s="23">
        <f>IF(Refino!$L$21="","",G220*Refino!$L$21*(1-RetCraft))</f>
        <v/>
      </c>
      <c r="R220" t="n">
        <v>0</v>
      </c>
      <c r="S220" t="inlineStr">
        <is>
          <t>-</t>
        </is>
      </c>
      <c r="T220" s="25">
        <f>G220*Refino!$D$21</f>
        <v/>
      </c>
      <c r="U220" s="25">
        <f>T220*0.1125*FeeCraft/100</f>
        <v/>
      </c>
      <c r="V220" s="23">
        <f>IF(OR(Q220="",R220=""),"",Q220+R220+U220)</f>
        <v/>
      </c>
      <c r="W220" s="23">
        <f>IF(O220="","",O220*(1-TaxaVenda))</f>
        <v/>
      </c>
      <c r="X220" s="26">
        <f>IF(OR(V220="",W220=""),"",W220-V220)</f>
        <v/>
      </c>
      <c r="Y220" s="27">
        <f>IF(X220="","",X220/V220)</f>
        <v/>
      </c>
    </row>
    <row r="221">
      <c r="A221" t="inlineStr">
        <is>
          <t>Guardião (Guardian)|Botas|T7.2</t>
        </is>
      </c>
      <c r="B221" t="inlineStr">
        <is>
          <t>Guardião (Guardian)</t>
        </is>
      </c>
      <c r="C221" t="inlineStr">
        <is>
          <t>Botas</t>
        </is>
      </c>
      <c r="D221" t="inlineStr">
        <is>
          <t>T7.2</t>
        </is>
      </c>
      <c r="E221" t="n">
        <v>7</v>
      </c>
      <c r="F221" t="n">
        <v>2</v>
      </c>
      <c r="G221" t="n">
        <v>8</v>
      </c>
      <c r="H221" s="22" t="n"/>
      <c r="I221" s="22" t="n"/>
      <c r="J221" s="22" t="n"/>
      <c r="K221" s="22" t="n"/>
      <c r="L221" s="22" t="n"/>
      <c r="M221" s="22" t="n"/>
      <c r="N221" s="22" t="n"/>
      <c r="O221" s="23">
        <f>IF(COUNT(H221:N221)=0,"",MAX(H221:N221))</f>
        <v/>
      </c>
      <c r="P221" s="24">
        <f>IF(O221="","",INDEX($H$3:$N$3,MATCH(O221,H221:N221,0)))</f>
        <v/>
      </c>
      <c r="Q221" s="23">
        <f>IF(Refino!$L$22="","",G221*Refino!$L$22*(1-RetCraft))</f>
        <v/>
      </c>
      <c r="R221" t="n">
        <v>0</v>
      </c>
      <c r="S221" t="inlineStr">
        <is>
          <t>-</t>
        </is>
      </c>
      <c r="T221" s="25">
        <f>G221*Refino!$D$22</f>
        <v/>
      </c>
      <c r="U221" s="25">
        <f>T221*0.1125*FeeCraft/100</f>
        <v/>
      </c>
      <c r="V221" s="23">
        <f>IF(OR(Q221="",R221=""),"",Q221+R221+U221)</f>
        <v/>
      </c>
      <c r="W221" s="23">
        <f>IF(O221="","",O221*(1-TaxaVenda))</f>
        <v/>
      </c>
      <c r="X221" s="26">
        <f>IF(OR(V221="",W221=""),"",W221-V221)</f>
        <v/>
      </c>
      <c r="Y221" s="27">
        <f>IF(X221="","",X221/V221)</f>
        <v/>
      </c>
    </row>
    <row r="222">
      <c r="A222" t="inlineStr">
        <is>
          <t>Guardião (Guardian)|Botas|T7.3</t>
        </is>
      </c>
      <c r="B222" t="inlineStr">
        <is>
          <t>Guardião (Guardian)</t>
        </is>
      </c>
      <c r="C222" t="inlineStr">
        <is>
          <t>Botas</t>
        </is>
      </c>
      <c r="D222" t="inlineStr">
        <is>
          <t>T7.3</t>
        </is>
      </c>
      <c r="E222" t="n">
        <v>7</v>
      </c>
      <c r="F222" t="n">
        <v>3</v>
      </c>
      <c r="G222" t="n">
        <v>8</v>
      </c>
      <c r="H222" s="22" t="n"/>
      <c r="I222" s="22" t="n"/>
      <c r="J222" s="22" t="n"/>
      <c r="K222" s="22" t="n"/>
      <c r="L222" s="22" t="n"/>
      <c r="M222" s="22" t="n"/>
      <c r="N222" s="22" t="n"/>
      <c r="O222" s="23">
        <f>IF(COUNT(H222:N222)=0,"",MAX(H222:N222))</f>
        <v/>
      </c>
      <c r="P222" s="24">
        <f>IF(O222="","",INDEX($H$3:$N$3,MATCH(O222,H222:N222,0)))</f>
        <v/>
      </c>
      <c r="Q222" s="23">
        <f>IF(Refino!$L$23="","",G222*Refino!$L$23*(1-RetCraft))</f>
        <v/>
      </c>
      <c r="R222" t="n">
        <v>0</v>
      </c>
      <c r="S222" t="inlineStr">
        <is>
          <t>-</t>
        </is>
      </c>
      <c r="T222" s="25">
        <f>G222*Refino!$D$23</f>
        <v/>
      </c>
      <c r="U222" s="25">
        <f>T222*0.1125*FeeCraft/100</f>
        <v/>
      </c>
      <c r="V222" s="23">
        <f>IF(OR(Q222="",R222=""),"",Q222+R222+U222)</f>
        <v/>
      </c>
      <c r="W222" s="23">
        <f>IF(O222="","",O222*(1-TaxaVenda))</f>
        <v/>
      </c>
      <c r="X222" s="26">
        <f>IF(OR(V222="",W222=""),"",W222-V222)</f>
        <v/>
      </c>
      <c r="Y222" s="27">
        <f>IF(X222="","",X222/V222)</f>
        <v/>
      </c>
    </row>
    <row r="223">
      <c r="A223" t="inlineStr">
        <is>
          <t>Guardião (Guardian)|Botas|T7.4</t>
        </is>
      </c>
      <c r="B223" t="inlineStr">
        <is>
          <t>Guardião (Guardian)</t>
        </is>
      </c>
      <c r="C223" t="inlineStr">
        <is>
          <t>Botas</t>
        </is>
      </c>
      <c r="D223" t="inlineStr">
        <is>
          <t>T7.4</t>
        </is>
      </c>
      <c r="E223" t="n">
        <v>7</v>
      </c>
      <c r="F223" t="n">
        <v>4</v>
      </c>
      <c r="G223" t="n">
        <v>8</v>
      </c>
      <c r="H223" s="22" t="n"/>
      <c r="I223" s="22" t="n"/>
      <c r="J223" s="22" t="n"/>
      <c r="K223" s="22" t="n"/>
      <c r="L223" s="22" t="n"/>
      <c r="M223" s="22" t="n"/>
      <c r="N223" s="22" t="n"/>
      <c r="O223" s="23">
        <f>IF(COUNT(H223:N223)=0,"",MAX(H223:N223))</f>
        <v/>
      </c>
      <c r="P223" s="24">
        <f>IF(O223="","",INDEX($H$3:$N$3,MATCH(O223,H223:N223,0)))</f>
        <v/>
      </c>
      <c r="Q223" s="23">
        <f>IF(Refino!$L$24="","",G223*Refino!$L$24*(1-RetCraft))</f>
        <v/>
      </c>
      <c r="R223" t="n">
        <v>0</v>
      </c>
      <c r="S223" t="inlineStr">
        <is>
          <t>-</t>
        </is>
      </c>
      <c r="T223" s="25">
        <f>G223*Refino!$D$24</f>
        <v/>
      </c>
      <c r="U223" s="25">
        <f>T223*0.1125*FeeCraft/100</f>
        <v/>
      </c>
      <c r="V223" s="23">
        <f>IF(OR(Q223="",R223=""),"",Q223+R223+U223)</f>
        <v/>
      </c>
      <c r="W223" s="23">
        <f>IF(O223="","",O223*(1-TaxaVenda))</f>
        <v/>
      </c>
      <c r="X223" s="26">
        <f>IF(OR(V223="",W223=""),"",W223-V223)</f>
        <v/>
      </c>
      <c r="Y223" s="27">
        <f>IF(X223="","",X223/V223)</f>
        <v/>
      </c>
    </row>
    <row r="224">
      <c r="A224" t="inlineStr">
        <is>
          <t>Guardião (Guardian)|Botas|T8.0</t>
        </is>
      </c>
      <c r="B224" t="inlineStr">
        <is>
          <t>Guardião (Guardian)</t>
        </is>
      </c>
      <c r="C224" t="inlineStr">
        <is>
          <t>Botas</t>
        </is>
      </c>
      <c r="D224" t="inlineStr">
        <is>
          <t>T8.0</t>
        </is>
      </c>
      <c r="E224" t="n">
        <v>8</v>
      </c>
      <c r="F224" t="n">
        <v>0</v>
      </c>
      <c r="G224" t="n">
        <v>8</v>
      </c>
      <c r="H224" s="22" t="n"/>
      <c r="I224" s="22" t="n"/>
      <c r="J224" s="22" t="n"/>
      <c r="K224" s="22" t="n"/>
      <c r="L224" s="22" t="n"/>
      <c r="M224" s="22" t="n"/>
      <c r="N224" s="22" t="n"/>
      <c r="O224" s="23">
        <f>IF(COUNT(H224:N224)=0,"",MAX(H224:N224))</f>
        <v/>
      </c>
      <c r="P224" s="24">
        <f>IF(O224="","",INDEX($H$3:$N$3,MATCH(O224,H224:N224,0)))</f>
        <v/>
      </c>
      <c r="Q224" s="23">
        <f>IF(Refino!$L$25="","",G224*Refino!$L$25*(1-RetCraft))</f>
        <v/>
      </c>
      <c r="R224" t="n">
        <v>0</v>
      </c>
      <c r="S224" t="inlineStr">
        <is>
          <t>-</t>
        </is>
      </c>
      <c r="T224" s="25">
        <f>G224*Refino!$D$25</f>
        <v/>
      </c>
      <c r="U224" s="25">
        <f>T224*0.1125*FeeCraft/100</f>
        <v/>
      </c>
      <c r="V224" s="23">
        <f>IF(OR(Q224="",R224=""),"",Q224+R224+U224)</f>
        <v/>
      </c>
      <c r="W224" s="23">
        <f>IF(O224="","",O224*(1-TaxaVenda))</f>
        <v/>
      </c>
      <c r="X224" s="26">
        <f>IF(OR(V224="",W224=""),"",W224-V224)</f>
        <v/>
      </c>
      <c r="Y224" s="27">
        <f>IF(X224="","",X224/V224)</f>
        <v/>
      </c>
    </row>
    <row r="225">
      <c r="A225" t="inlineStr">
        <is>
          <t>Guardião (Guardian)|Botas|T8.1</t>
        </is>
      </c>
      <c r="B225" t="inlineStr">
        <is>
          <t>Guardião (Guardian)</t>
        </is>
      </c>
      <c r="C225" t="inlineStr">
        <is>
          <t>Botas</t>
        </is>
      </c>
      <c r="D225" t="inlineStr">
        <is>
          <t>T8.1</t>
        </is>
      </c>
      <c r="E225" t="n">
        <v>8</v>
      </c>
      <c r="F225" t="n">
        <v>1</v>
      </c>
      <c r="G225" t="n">
        <v>8</v>
      </c>
      <c r="H225" s="22" t="n"/>
      <c r="I225" s="22" t="n"/>
      <c r="J225" s="22" t="n"/>
      <c r="K225" s="22" t="n"/>
      <c r="L225" s="22" t="n"/>
      <c r="M225" s="22" t="n"/>
      <c r="N225" s="22" t="n"/>
      <c r="O225" s="23">
        <f>IF(COUNT(H225:N225)=0,"",MAX(H225:N225))</f>
        <v/>
      </c>
      <c r="P225" s="24">
        <f>IF(O225="","",INDEX($H$3:$N$3,MATCH(O225,H225:N225,0)))</f>
        <v/>
      </c>
      <c r="Q225" s="23">
        <f>IF(Refino!$L$26="","",G225*Refino!$L$26*(1-RetCraft))</f>
        <v/>
      </c>
      <c r="R225" t="n">
        <v>0</v>
      </c>
      <c r="S225" t="inlineStr">
        <is>
          <t>-</t>
        </is>
      </c>
      <c r="T225" s="25">
        <f>G225*Refino!$D$26</f>
        <v/>
      </c>
      <c r="U225" s="25">
        <f>T225*0.1125*FeeCraft/100</f>
        <v/>
      </c>
      <c r="V225" s="23">
        <f>IF(OR(Q225="",R225=""),"",Q225+R225+U225)</f>
        <v/>
      </c>
      <c r="W225" s="23">
        <f>IF(O225="","",O225*(1-TaxaVenda))</f>
        <v/>
      </c>
      <c r="X225" s="26">
        <f>IF(OR(V225="",W225=""),"",W225-V225)</f>
        <v/>
      </c>
      <c r="Y225" s="27">
        <f>IF(X225="","",X225/V225)</f>
        <v/>
      </c>
    </row>
    <row r="226">
      <c r="A226" t="inlineStr">
        <is>
          <t>Guardião (Guardian)|Botas|T8.2</t>
        </is>
      </c>
      <c r="B226" t="inlineStr">
        <is>
          <t>Guardião (Guardian)</t>
        </is>
      </c>
      <c r="C226" t="inlineStr">
        <is>
          <t>Botas</t>
        </is>
      </c>
      <c r="D226" t="inlineStr">
        <is>
          <t>T8.2</t>
        </is>
      </c>
      <c r="E226" t="n">
        <v>8</v>
      </c>
      <c r="F226" t="n">
        <v>2</v>
      </c>
      <c r="G226" t="n">
        <v>8</v>
      </c>
      <c r="H226" s="22" t="n"/>
      <c r="I226" s="22" t="n"/>
      <c r="J226" s="22" t="n"/>
      <c r="K226" s="22" t="n"/>
      <c r="L226" s="22" t="n"/>
      <c r="M226" s="22" t="n"/>
      <c r="N226" s="22" t="n"/>
      <c r="O226" s="23">
        <f>IF(COUNT(H226:N226)=0,"",MAX(H226:N226))</f>
        <v/>
      </c>
      <c r="P226" s="24">
        <f>IF(O226="","",INDEX($H$3:$N$3,MATCH(O226,H226:N226,0)))</f>
        <v/>
      </c>
      <c r="Q226" s="23">
        <f>IF(Refino!$L$27="","",G226*Refino!$L$27*(1-RetCraft))</f>
        <v/>
      </c>
      <c r="R226" t="n">
        <v>0</v>
      </c>
      <c r="S226" t="inlineStr">
        <is>
          <t>-</t>
        </is>
      </c>
      <c r="T226" s="25">
        <f>G226*Refino!$D$27</f>
        <v/>
      </c>
      <c r="U226" s="25">
        <f>T226*0.1125*FeeCraft/100</f>
        <v/>
      </c>
      <c r="V226" s="23">
        <f>IF(OR(Q226="",R226=""),"",Q226+R226+U226)</f>
        <v/>
      </c>
      <c r="W226" s="23">
        <f>IF(O226="","",O226*(1-TaxaVenda))</f>
        <v/>
      </c>
      <c r="X226" s="26">
        <f>IF(OR(V226="",W226=""),"",W226-V226)</f>
        <v/>
      </c>
      <c r="Y226" s="27">
        <f>IF(X226="","",X226/V226)</f>
        <v/>
      </c>
    </row>
    <row r="227">
      <c r="A227" t="inlineStr">
        <is>
          <t>Guardião (Guardian)|Botas|T8.3</t>
        </is>
      </c>
      <c r="B227" t="inlineStr">
        <is>
          <t>Guardião (Guardian)</t>
        </is>
      </c>
      <c r="C227" t="inlineStr">
        <is>
          <t>Botas</t>
        </is>
      </c>
      <c r="D227" t="inlineStr">
        <is>
          <t>T8.3</t>
        </is>
      </c>
      <c r="E227" t="n">
        <v>8</v>
      </c>
      <c r="F227" t="n">
        <v>3</v>
      </c>
      <c r="G227" t="n">
        <v>8</v>
      </c>
      <c r="H227" s="22" t="n"/>
      <c r="I227" s="22" t="n"/>
      <c r="J227" s="22" t="n"/>
      <c r="K227" s="22" t="n"/>
      <c r="L227" s="22" t="n"/>
      <c r="M227" s="22" t="n"/>
      <c r="N227" s="22" t="n"/>
      <c r="O227" s="23">
        <f>IF(COUNT(H227:N227)=0,"",MAX(H227:N227))</f>
        <v/>
      </c>
      <c r="P227" s="24">
        <f>IF(O227="","",INDEX($H$3:$N$3,MATCH(O227,H227:N227,0)))</f>
        <v/>
      </c>
      <c r="Q227" s="23">
        <f>IF(Refino!$L$28="","",G227*Refino!$L$28*(1-RetCraft))</f>
        <v/>
      </c>
      <c r="R227" t="n">
        <v>0</v>
      </c>
      <c r="S227" t="inlineStr">
        <is>
          <t>-</t>
        </is>
      </c>
      <c r="T227" s="25">
        <f>G227*Refino!$D$28</f>
        <v/>
      </c>
      <c r="U227" s="25">
        <f>T227*0.1125*FeeCraft/100</f>
        <v/>
      </c>
      <c r="V227" s="23">
        <f>IF(OR(Q227="",R227=""),"",Q227+R227+U227)</f>
        <v/>
      </c>
      <c r="W227" s="23">
        <f>IF(O227="","",O227*(1-TaxaVenda))</f>
        <v/>
      </c>
      <c r="X227" s="26">
        <f>IF(OR(V227="",W227=""),"",W227-V227)</f>
        <v/>
      </c>
      <c r="Y227" s="27">
        <f>IF(X227="","",X227/V227)</f>
        <v/>
      </c>
    </row>
    <row r="228">
      <c r="A228" t="inlineStr">
        <is>
          <t>Guardião (Guardian)|Botas|T8.4</t>
        </is>
      </c>
      <c r="B228" t="inlineStr">
        <is>
          <t>Guardião (Guardian)</t>
        </is>
      </c>
      <c r="C228" t="inlineStr">
        <is>
          <t>Botas</t>
        </is>
      </c>
      <c r="D228" t="inlineStr">
        <is>
          <t>T8.4</t>
        </is>
      </c>
      <c r="E228" t="n">
        <v>8</v>
      </c>
      <c r="F228" t="n">
        <v>4</v>
      </c>
      <c r="G228" t="n">
        <v>8</v>
      </c>
      <c r="H228" s="22" t="n"/>
      <c r="I228" s="22" t="n"/>
      <c r="J228" s="22" t="n"/>
      <c r="K228" s="22" t="n"/>
      <c r="L228" s="22" t="n"/>
      <c r="M228" s="22" t="n"/>
      <c r="N228" s="22" t="n"/>
      <c r="O228" s="23">
        <f>IF(COUNT(H228:N228)=0,"",MAX(H228:N228))</f>
        <v/>
      </c>
      <c r="P228" s="24">
        <f>IF(O228="","",INDEX($H$3:$N$3,MATCH(O228,H228:N228,0)))</f>
        <v/>
      </c>
      <c r="Q228" s="23">
        <f>IF(Refino!$L$29="","",G228*Refino!$L$29*(1-RetCraft))</f>
        <v/>
      </c>
      <c r="R228" t="n">
        <v>0</v>
      </c>
      <c r="S228" t="inlineStr">
        <is>
          <t>-</t>
        </is>
      </c>
      <c r="T228" s="25">
        <f>G228*Refino!$D$29</f>
        <v/>
      </c>
      <c r="U228" s="25">
        <f>T228*0.1125*FeeCraft/100</f>
        <v/>
      </c>
      <c r="V228" s="23">
        <f>IF(OR(Q228="",R228=""),"",Q228+R228+U228)</f>
        <v/>
      </c>
      <c r="W228" s="23">
        <f>IF(O228="","",O228*(1-TaxaVenda))</f>
        <v/>
      </c>
      <c r="X228" s="26">
        <f>IF(OR(V228="",W228=""),"",W228-V228)</f>
        <v/>
      </c>
      <c r="Y228" s="27">
        <f>IF(X228="","",X228/V228)</f>
        <v/>
      </c>
    </row>
    <row r="229">
      <c r="A229" t="inlineStr">
        <is>
          <t>Graveguard|Armadura|T4.0</t>
        </is>
      </c>
      <c r="B229" t="inlineStr">
        <is>
          <t>Graveguard</t>
        </is>
      </c>
      <c r="C229" t="inlineStr">
        <is>
          <t>Armadura</t>
        </is>
      </c>
      <c r="D229" t="inlineStr">
        <is>
          <t>T4.0</t>
        </is>
      </c>
      <c r="E229" t="n">
        <v>4</v>
      </c>
      <c r="F229" t="n">
        <v>0</v>
      </c>
      <c r="G229" t="n">
        <v>16</v>
      </c>
      <c r="H229" s="22" t="n"/>
      <c r="I229" s="22" t="n"/>
      <c r="J229" s="22" t="n"/>
      <c r="K229" s="22" t="n"/>
      <c r="L229" s="22" t="n"/>
      <c r="M229" s="22" t="n"/>
      <c r="N229" s="22" t="n"/>
      <c r="O229" s="23">
        <f>IF(COUNT(H229:N229)=0,"",MAX(H229:N229))</f>
        <v/>
      </c>
      <c r="P229" s="24">
        <f>IF(O229="","",INDEX($H$3:$N$3,MATCH(O229,H229:N229,0)))</f>
        <v/>
      </c>
      <c r="Q229" s="23">
        <f>IF(Refino!$L$5="","",G229*Refino!$L$5*(1-RetCraft))</f>
        <v/>
      </c>
      <c r="R229" s="25">
        <f>IF(Artefatos!$L$3="","",Artefatos!$L$3*(1+TaxaCompra))</f>
        <v/>
      </c>
      <c r="S229">
        <f>IF(Artefatos!$M$3="","",Artefatos!$M$3)</f>
        <v/>
      </c>
      <c r="T229" s="25">
        <f>G229*Refino!$D$5+Artefatos!$F$3</f>
        <v/>
      </c>
      <c r="U229" s="25">
        <f>T229*0.1125*FeeCraft/100</f>
        <v/>
      </c>
      <c r="V229" s="23">
        <f>IF(OR(Q229="",R229=""),"",Q229+R229+U229)</f>
        <v/>
      </c>
      <c r="W229" s="23">
        <f>IF(O229="","",O229*(1-TaxaVenda))</f>
        <v/>
      </c>
      <c r="X229" s="26">
        <f>IF(OR(V229="",W229=""),"",W229-V229)</f>
        <v/>
      </c>
      <c r="Y229" s="27">
        <f>IF(X229="","",X229/V229)</f>
        <v/>
      </c>
    </row>
    <row r="230">
      <c r="A230" t="inlineStr">
        <is>
          <t>Graveguard|Armadura|T4.1</t>
        </is>
      </c>
      <c r="B230" t="inlineStr">
        <is>
          <t>Graveguard</t>
        </is>
      </c>
      <c r="C230" t="inlineStr">
        <is>
          <t>Armadura</t>
        </is>
      </c>
      <c r="D230" t="inlineStr">
        <is>
          <t>T4.1</t>
        </is>
      </c>
      <c r="E230" t="n">
        <v>4</v>
      </c>
      <c r="F230" t="n">
        <v>1</v>
      </c>
      <c r="G230" t="n">
        <v>16</v>
      </c>
      <c r="H230" s="22" t="n"/>
      <c r="I230" s="22" t="n"/>
      <c r="J230" s="22" t="n"/>
      <c r="K230" s="22" t="n"/>
      <c r="L230" s="22" t="n"/>
      <c r="M230" s="22" t="n"/>
      <c r="N230" s="22" t="n"/>
      <c r="O230" s="23">
        <f>IF(COUNT(H230:N230)=0,"",MAX(H230:N230))</f>
        <v/>
      </c>
      <c r="P230" s="24">
        <f>IF(O230="","",INDEX($H$3:$N$3,MATCH(O230,H230:N230,0)))</f>
        <v/>
      </c>
      <c r="Q230" s="23">
        <f>IF(Refino!$L$6="","",G230*Refino!$L$6*(1-RetCraft))</f>
        <v/>
      </c>
      <c r="R230" s="25">
        <f>IF(Artefatos!$L$3="","",Artefatos!$L$3*(1+TaxaCompra))</f>
        <v/>
      </c>
      <c r="S230">
        <f>IF(Artefatos!$M$3="","",Artefatos!$M$3)</f>
        <v/>
      </c>
      <c r="T230" s="25">
        <f>G230*Refino!$D$6+Artefatos!$F$3</f>
        <v/>
      </c>
      <c r="U230" s="25">
        <f>T230*0.1125*FeeCraft/100</f>
        <v/>
      </c>
      <c r="V230" s="23">
        <f>IF(OR(Q230="",R230=""),"",Q230+R230+U230)</f>
        <v/>
      </c>
      <c r="W230" s="23">
        <f>IF(O230="","",O230*(1-TaxaVenda))</f>
        <v/>
      </c>
      <c r="X230" s="26">
        <f>IF(OR(V230="",W230=""),"",W230-V230)</f>
        <v/>
      </c>
      <c r="Y230" s="27">
        <f>IF(X230="","",X230/V230)</f>
        <v/>
      </c>
    </row>
    <row r="231">
      <c r="A231" t="inlineStr">
        <is>
          <t>Graveguard|Armadura|T4.2</t>
        </is>
      </c>
      <c r="B231" t="inlineStr">
        <is>
          <t>Graveguard</t>
        </is>
      </c>
      <c r="C231" t="inlineStr">
        <is>
          <t>Armadura</t>
        </is>
      </c>
      <c r="D231" t="inlineStr">
        <is>
          <t>T4.2</t>
        </is>
      </c>
      <c r="E231" t="n">
        <v>4</v>
      </c>
      <c r="F231" t="n">
        <v>2</v>
      </c>
      <c r="G231" t="n">
        <v>16</v>
      </c>
      <c r="H231" s="22" t="n"/>
      <c r="I231" s="22" t="n"/>
      <c r="J231" s="22" t="n"/>
      <c r="K231" s="22" t="n"/>
      <c r="L231" s="22" t="n"/>
      <c r="M231" s="22" t="n"/>
      <c r="N231" s="22" t="n"/>
      <c r="O231" s="23">
        <f>IF(COUNT(H231:N231)=0,"",MAX(H231:N231))</f>
        <v/>
      </c>
      <c r="P231" s="24">
        <f>IF(O231="","",INDEX($H$3:$N$3,MATCH(O231,H231:N231,0)))</f>
        <v/>
      </c>
      <c r="Q231" s="23">
        <f>IF(Refino!$L$7="","",G231*Refino!$L$7*(1-RetCraft))</f>
        <v/>
      </c>
      <c r="R231" s="25">
        <f>IF(Artefatos!$L$3="","",Artefatos!$L$3*(1+TaxaCompra))</f>
        <v/>
      </c>
      <c r="S231">
        <f>IF(Artefatos!$M$3="","",Artefatos!$M$3)</f>
        <v/>
      </c>
      <c r="T231" s="25">
        <f>G231*Refino!$D$7+Artefatos!$F$3</f>
        <v/>
      </c>
      <c r="U231" s="25">
        <f>T231*0.1125*FeeCraft/100</f>
        <v/>
      </c>
      <c r="V231" s="23">
        <f>IF(OR(Q231="",R231=""),"",Q231+R231+U231)</f>
        <v/>
      </c>
      <c r="W231" s="23">
        <f>IF(O231="","",O231*(1-TaxaVenda))</f>
        <v/>
      </c>
      <c r="X231" s="26">
        <f>IF(OR(V231="",W231=""),"",W231-V231)</f>
        <v/>
      </c>
      <c r="Y231" s="27">
        <f>IF(X231="","",X231/V231)</f>
        <v/>
      </c>
    </row>
    <row r="232">
      <c r="A232" t="inlineStr">
        <is>
          <t>Graveguard|Armadura|T4.3</t>
        </is>
      </c>
      <c r="B232" t="inlineStr">
        <is>
          <t>Graveguard</t>
        </is>
      </c>
      <c r="C232" t="inlineStr">
        <is>
          <t>Armadura</t>
        </is>
      </c>
      <c r="D232" t="inlineStr">
        <is>
          <t>T4.3</t>
        </is>
      </c>
      <c r="E232" t="n">
        <v>4</v>
      </c>
      <c r="F232" t="n">
        <v>3</v>
      </c>
      <c r="G232" t="n">
        <v>16</v>
      </c>
      <c r="H232" s="22" t="n"/>
      <c r="I232" s="22" t="n"/>
      <c r="J232" s="22" t="n"/>
      <c r="K232" s="22" t="n"/>
      <c r="L232" s="22" t="n"/>
      <c r="M232" s="22" t="n"/>
      <c r="N232" s="22" t="n"/>
      <c r="O232" s="23">
        <f>IF(COUNT(H232:N232)=0,"",MAX(H232:N232))</f>
        <v/>
      </c>
      <c r="P232" s="24">
        <f>IF(O232="","",INDEX($H$3:$N$3,MATCH(O232,H232:N232,0)))</f>
        <v/>
      </c>
      <c r="Q232" s="23">
        <f>IF(Refino!$L$8="","",G232*Refino!$L$8*(1-RetCraft))</f>
        <v/>
      </c>
      <c r="R232" s="25">
        <f>IF(Artefatos!$L$3="","",Artefatos!$L$3*(1+TaxaCompra))</f>
        <v/>
      </c>
      <c r="S232">
        <f>IF(Artefatos!$M$3="","",Artefatos!$M$3)</f>
        <v/>
      </c>
      <c r="T232" s="25">
        <f>G232*Refino!$D$8+Artefatos!$F$3</f>
        <v/>
      </c>
      <c r="U232" s="25">
        <f>T232*0.1125*FeeCraft/100</f>
        <v/>
      </c>
      <c r="V232" s="23">
        <f>IF(OR(Q232="",R232=""),"",Q232+R232+U232)</f>
        <v/>
      </c>
      <c r="W232" s="23">
        <f>IF(O232="","",O232*(1-TaxaVenda))</f>
        <v/>
      </c>
      <c r="X232" s="26">
        <f>IF(OR(V232="",W232=""),"",W232-V232)</f>
        <v/>
      </c>
      <c r="Y232" s="27">
        <f>IF(X232="","",X232/V232)</f>
        <v/>
      </c>
    </row>
    <row r="233">
      <c r="A233" t="inlineStr">
        <is>
          <t>Graveguard|Armadura|T4.4</t>
        </is>
      </c>
      <c r="B233" t="inlineStr">
        <is>
          <t>Graveguard</t>
        </is>
      </c>
      <c r="C233" t="inlineStr">
        <is>
          <t>Armadura</t>
        </is>
      </c>
      <c r="D233" t="inlineStr">
        <is>
          <t>T4.4</t>
        </is>
      </c>
      <c r="E233" t="n">
        <v>4</v>
      </c>
      <c r="F233" t="n">
        <v>4</v>
      </c>
      <c r="G233" t="n">
        <v>16</v>
      </c>
      <c r="H233" s="22" t="n"/>
      <c r="I233" s="22" t="n"/>
      <c r="J233" s="22" t="n"/>
      <c r="K233" s="22" t="n"/>
      <c r="L233" s="22" t="n"/>
      <c r="M233" s="22" t="n"/>
      <c r="N233" s="22" t="n"/>
      <c r="O233" s="23">
        <f>IF(COUNT(H233:N233)=0,"",MAX(H233:N233))</f>
        <v/>
      </c>
      <c r="P233" s="24">
        <f>IF(O233="","",INDEX($H$3:$N$3,MATCH(O233,H233:N233,0)))</f>
        <v/>
      </c>
      <c r="Q233" s="23">
        <f>IF(Refino!$L$9="","",G233*Refino!$L$9*(1-RetCraft))</f>
        <v/>
      </c>
      <c r="R233" s="25">
        <f>IF(Artefatos!$L$3="","",Artefatos!$L$3*(1+TaxaCompra))</f>
        <v/>
      </c>
      <c r="S233">
        <f>IF(Artefatos!$M$3="","",Artefatos!$M$3)</f>
        <v/>
      </c>
      <c r="T233" s="25">
        <f>G233*Refino!$D$9+Artefatos!$F$3</f>
        <v/>
      </c>
      <c r="U233" s="25">
        <f>T233*0.1125*FeeCraft/100</f>
        <v/>
      </c>
      <c r="V233" s="23">
        <f>IF(OR(Q233="",R233=""),"",Q233+R233+U233)</f>
        <v/>
      </c>
      <c r="W233" s="23">
        <f>IF(O233="","",O233*(1-TaxaVenda))</f>
        <v/>
      </c>
      <c r="X233" s="26">
        <f>IF(OR(V233="",W233=""),"",W233-V233)</f>
        <v/>
      </c>
      <c r="Y233" s="27">
        <f>IF(X233="","",X233/V233)</f>
        <v/>
      </c>
    </row>
    <row r="234">
      <c r="A234" t="inlineStr">
        <is>
          <t>Graveguard|Armadura|T5.0</t>
        </is>
      </c>
      <c r="B234" t="inlineStr">
        <is>
          <t>Graveguard</t>
        </is>
      </c>
      <c r="C234" t="inlineStr">
        <is>
          <t>Armadura</t>
        </is>
      </c>
      <c r="D234" t="inlineStr">
        <is>
          <t>T5.0</t>
        </is>
      </c>
      <c r="E234" t="n">
        <v>5</v>
      </c>
      <c r="F234" t="n">
        <v>0</v>
      </c>
      <c r="G234" t="n">
        <v>16</v>
      </c>
      <c r="H234" s="22" t="n"/>
      <c r="I234" s="22" t="n"/>
      <c r="J234" s="22" t="n"/>
      <c r="K234" s="22" t="n"/>
      <c r="L234" s="22" t="n"/>
      <c r="M234" s="22" t="n"/>
      <c r="N234" s="22" t="n"/>
      <c r="O234" s="23">
        <f>IF(COUNT(H234:N234)=0,"",MAX(H234:N234))</f>
        <v/>
      </c>
      <c r="P234" s="24">
        <f>IF(O234="","",INDEX($H$3:$N$3,MATCH(O234,H234:N234,0)))</f>
        <v/>
      </c>
      <c r="Q234" s="23">
        <f>IF(Refino!$L$10="","",G234*Refino!$L$10*(1-RetCraft))</f>
        <v/>
      </c>
      <c r="R234" s="25">
        <f>IF(Artefatos!$L$4="","",Artefatos!$L$4*(1+TaxaCompra))</f>
        <v/>
      </c>
      <c r="S234">
        <f>IF(Artefatos!$M$4="","",Artefatos!$M$4)</f>
        <v/>
      </c>
      <c r="T234" s="25">
        <f>G234*Refino!$D$10+Artefatos!$F$4</f>
        <v/>
      </c>
      <c r="U234" s="25">
        <f>T234*0.1125*FeeCraft/100</f>
        <v/>
      </c>
      <c r="V234" s="23">
        <f>IF(OR(Q234="",R234=""),"",Q234+R234+U234)</f>
        <v/>
      </c>
      <c r="W234" s="23">
        <f>IF(O234="","",O234*(1-TaxaVenda))</f>
        <v/>
      </c>
      <c r="X234" s="26">
        <f>IF(OR(V234="",W234=""),"",W234-V234)</f>
        <v/>
      </c>
      <c r="Y234" s="27">
        <f>IF(X234="","",X234/V234)</f>
        <v/>
      </c>
    </row>
    <row r="235">
      <c r="A235" t="inlineStr">
        <is>
          <t>Graveguard|Armadura|T5.1</t>
        </is>
      </c>
      <c r="B235" t="inlineStr">
        <is>
          <t>Graveguard</t>
        </is>
      </c>
      <c r="C235" t="inlineStr">
        <is>
          <t>Armadura</t>
        </is>
      </c>
      <c r="D235" t="inlineStr">
        <is>
          <t>T5.1</t>
        </is>
      </c>
      <c r="E235" t="n">
        <v>5</v>
      </c>
      <c r="F235" t="n">
        <v>1</v>
      </c>
      <c r="G235" t="n">
        <v>16</v>
      </c>
      <c r="H235" s="22" t="n"/>
      <c r="I235" s="22" t="n"/>
      <c r="J235" s="22" t="n"/>
      <c r="K235" s="22" t="n"/>
      <c r="L235" s="22" t="n"/>
      <c r="M235" s="22" t="n"/>
      <c r="N235" s="22" t="n"/>
      <c r="O235" s="23">
        <f>IF(COUNT(H235:N235)=0,"",MAX(H235:N235))</f>
        <v/>
      </c>
      <c r="P235" s="24">
        <f>IF(O235="","",INDEX($H$3:$N$3,MATCH(O235,H235:N235,0)))</f>
        <v/>
      </c>
      <c r="Q235" s="23">
        <f>IF(Refino!$L$11="","",G235*Refino!$L$11*(1-RetCraft))</f>
        <v/>
      </c>
      <c r="R235" s="25">
        <f>IF(Artefatos!$L$4="","",Artefatos!$L$4*(1+TaxaCompra))</f>
        <v/>
      </c>
      <c r="S235">
        <f>IF(Artefatos!$M$4="","",Artefatos!$M$4)</f>
        <v/>
      </c>
      <c r="T235" s="25">
        <f>G235*Refino!$D$11+Artefatos!$F$4</f>
        <v/>
      </c>
      <c r="U235" s="25">
        <f>T235*0.1125*FeeCraft/100</f>
        <v/>
      </c>
      <c r="V235" s="23">
        <f>IF(OR(Q235="",R235=""),"",Q235+R235+U235)</f>
        <v/>
      </c>
      <c r="W235" s="23">
        <f>IF(O235="","",O235*(1-TaxaVenda))</f>
        <v/>
      </c>
      <c r="X235" s="26">
        <f>IF(OR(V235="",W235=""),"",W235-V235)</f>
        <v/>
      </c>
      <c r="Y235" s="27">
        <f>IF(X235="","",X235/V235)</f>
        <v/>
      </c>
    </row>
    <row r="236">
      <c r="A236" t="inlineStr">
        <is>
          <t>Graveguard|Armadura|T5.2</t>
        </is>
      </c>
      <c r="B236" t="inlineStr">
        <is>
          <t>Graveguard</t>
        </is>
      </c>
      <c r="C236" t="inlineStr">
        <is>
          <t>Armadura</t>
        </is>
      </c>
      <c r="D236" t="inlineStr">
        <is>
          <t>T5.2</t>
        </is>
      </c>
      <c r="E236" t="n">
        <v>5</v>
      </c>
      <c r="F236" t="n">
        <v>2</v>
      </c>
      <c r="G236" t="n">
        <v>16</v>
      </c>
      <c r="H236" s="22" t="n"/>
      <c r="I236" s="22" t="n"/>
      <c r="J236" s="22" t="n"/>
      <c r="K236" s="22" t="n"/>
      <c r="L236" s="22" t="n"/>
      <c r="M236" s="22" t="n"/>
      <c r="N236" s="22" t="n"/>
      <c r="O236" s="23">
        <f>IF(COUNT(H236:N236)=0,"",MAX(H236:N236))</f>
        <v/>
      </c>
      <c r="P236" s="24">
        <f>IF(O236="","",INDEX($H$3:$N$3,MATCH(O236,H236:N236,0)))</f>
        <v/>
      </c>
      <c r="Q236" s="23">
        <f>IF(Refino!$L$12="","",G236*Refino!$L$12*(1-RetCraft))</f>
        <v/>
      </c>
      <c r="R236" s="25">
        <f>IF(Artefatos!$L$4="","",Artefatos!$L$4*(1+TaxaCompra))</f>
        <v/>
      </c>
      <c r="S236">
        <f>IF(Artefatos!$M$4="","",Artefatos!$M$4)</f>
        <v/>
      </c>
      <c r="T236" s="25">
        <f>G236*Refino!$D$12+Artefatos!$F$4</f>
        <v/>
      </c>
      <c r="U236" s="25">
        <f>T236*0.1125*FeeCraft/100</f>
        <v/>
      </c>
      <c r="V236" s="23">
        <f>IF(OR(Q236="",R236=""),"",Q236+R236+U236)</f>
        <v/>
      </c>
      <c r="W236" s="23">
        <f>IF(O236="","",O236*(1-TaxaVenda))</f>
        <v/>
      </c>
      <c r="X236" s="26">
        <f>IF(OR(V236="",W236=""),"",W236-V236)</f>
        <v/>
      </c>
      <c r="Y236" s="27">
        <f>IF(X236="","",X236/V236)</f>
        <v/>
      </c>
    </row>
    <row r="237">
      <c r="A237" t="inlineStr">
        <is>
          <t>Graveguard|Armadura|T5.3</t>
        </is>
      </c>
      <c r="B237" t="inlineStr">
        <is>
          <t>Graveguard</t>
        </is>
      </c>
      <c r="C237" t="inlineStr">
        <is>
          <t>Armadura</t>
        </is>
      </c>
      <c r="D237" t="inlineStr">
        <is>
          <t>T5.3</t>
        </is>
      </c>
      <c r="E237" t="n">
        <v>5</v>
      </c>
      <c r="F237" t="n">
        <v>3</v>
      </c>
      <c r="G237" t="n">
        <v>16</v>
      </c>
      <c r="H237" s="22" t="n"/>
      <c r="I237" s="22" t="n"/>
      <c r="J237" s="22" t="n"/>
      <c r="K237" s="22" t="n"/>
      <c r="L237" s="22" t="n"/>
      <c r="M237" s="22" t="n"/>
      <c r="N237" s="22" t="n"/>
      <c r="O237" s="23">
        <f>IF(COUNT(H237:N237)=0,"",MAX(H237:N237))</f>
        <v/>
      </c>
      <c r="P237" s="24">
        <f>IF(O237="","",INDEX($H$3:$N$3,MATCH(O237,H237:N237,0)))</f>
        <v/>
      </c>
      <c r="Q237" s="23">
        <f>IF(Refino!$L$13="","",G237*Refino!$L$13*(1-RetCraft))</f>
        <v/>
      </c>
      <c r="R237" s="25">
        <f>IF(Artefatos!$L$4="","",Artefatos!$L$4*(1+TaxaCompra))</f>
        <v/>
      </c>
      <c r="S237">
        <f>IF(Artefatos!$M$4="","",Artefatos!$M$4)</f>
        <v/>
      </c>
      <c r="T237" s="25">
        <f>G237*Refino!$D$13+Artefatos!$F$4</f>
        <v/>
      </c>
      <c r="U237" s="25">
        <f>T237*0.1125*FeeCraft/100</f>
        <v/>
      </c>
      <c r="V237" s="23">
        <f>IF(OR(Q237="",R237=""),"",Q237+R237+U237)</f>
        <v/>
      </c>
      <c r="W237" s="23">
        <f>IF(O237="","",O237*(1-TaxaVenda))</f>
        <v/>
      </c>
      <c r="X237" s="26">
        <f>IF(OR(V237="",W237=""),"",W237-V237)</f>
        <v/>
      </c>
      <c r="Y237" s="27">
        <f>IF(X237="","",X237/V237)</f>
        <v/>
      </c>
    </row>
    <row r="238">
      <c r="A238" t="inlineStr">
        <is>
          <t>Graveguard|Armadura|T5.4</t>
        </is>
      </c>
      <c r="B238" t="inlineStr">
        <is>
          <t>Graveguard</t>
        </is>
      </c>
      <c r="C238" t="inlineStr">
        <is>
          <t>Armadura</t>
        </is>
      </c>
      <c r="D238" t="inlineStr">
        <is>
          <t>T5.4</t>
        </is>
      </c>
      <c r="E238" t="n">
        <v>5</v>
      </c>
      <c r="F238" t="n">
        <v>4</v>
      </c>
      <c r="G238" t="n">
        <v>16</v>
      </c>
      <c r="H238" s="22" t="n"/>
      <c r="I238" s="22" t="n"/>
      <c r="J238" s="22" t="n"/>
      <c r="K238" s="22" t="n"/>
      <c r="L238" s="22" t="n"/>
      <c r="M238" s="22" t="n"/>
      <c r="N238" s="22" t="n"/>
      <c r="O238" s="23">
        <f>IF(COUNT(H238:N238)=0,"",MAX(H238:N238))</f>
        <v/>
      </c>
      <c r="P238" s="24">
        <f>IF(O238="","",INDEX($H$3:$N$3,MATCH(O238,H238:N238,0)))</f>
        <v/>
      </c>
      <c r="Q238" s="23">
        <f>IF(Refino!$L$14="","",G238*Refino!$L$14*(1-RetCraft))</f>
        <v/>
      </c>
      <c r="R238" s="25">
        <f>IF(Artefatos!$L$4="","",Artefatos!$L$4*(1+TaxaCompra))</f>
        <v/>
      </c>
      <c r="S238">
        <f>IF(Artefatos!$M$4="","",Artefatos!$M$4)</f>
        <v/>
      </c>
      <c r="T238" s="25">
        <f>G238*Refino!$D$14+Artefatos!$F$4</f>
        <v/>
      </c>
      <c r="U238" s="25">
        <f>T238*0.1125*FeeCraft/100</f>
        <v/>
      </c>
      <c r="V238" s="23">
        <f>IF(OR(Q238="",R238=""),"",Q238+R238+U238)</f>
        <v/>
      </c>
      <c r="W238" s="23">
        <f>IF(O238="","",O238*(1-TaxaVenda))</f>
        <v/>
      </c>
      <c r="X238" s="26">
        <f>IF(OR(V238="",W238=""),"",W238-V238)</f>
        <v/>
      </c>
      <c r="Y238" s="27">
        <f>IF(X238="","",X238/V238)</f>
        <v/>
      </c>
    </row>
    <row r="239">
      <c r="A239" t="inlineStr">
        <is>
          <t>Graveguard|Armadura|T6.0</t>
        </is>
      </c>
      <c r="B239" t="inlineStr">
        <is>
          <t>Graveguard</t>
        </is>
      </c>
      <c r="C239" t="inlineStr">
        <is>
          <t>Armadura</t>
        </is>
      </c>
      <c r="D239" t="inlineStr">
        <is>
          <t>T6.0</t>
        </is>
      </c>
      <c r="E239" t="n">
        <v>6</v>
      </c>
      <c r="F239" t="n">
        <v>0</v>
      </c>
      <c r="G239" t="n">
        <v>16</v>
      </c>
      <c r="H239" s="22" t="n"/>
      <c r="I239" s="22" t="n"/>
      <c r="J239" s="22" t="n"/>
      <c r="K239" s="22" t="n"/>
      <c r="L239" s="22" t="n"/>
      <c r="M239" s="22" t="n"/>
      <c r="N239" s="22" t="n"/>
      <c r="O239" s="23">
        <f>IF(COUNT(H239:N239)=0,"",MAX(H239:N239))</f>
        <v/>
      </c>
      <c r="P239" s="24">
        <f>IF(O239="","",INDEX($H$3:$N$3,MATCH(O239,H239:N239,0)))</f>
        <v/>
      </c>
      <c r="Q239" s="23">
        <f>IF(Refino!$L$15="","",G239*Refino!$L$15*(1-RetCraft))</f>
        <v/>
      </c>
      <c r="R239" s="25">
        <f>IF(Artefatos!$L$5="","",Artefatos!$L$5*(1+TaxaCompra))</f>
        <v/>
      </c>
      <c r="S239">
        <f>IF(Artefatos!$M$5="","",Artefatos!$M$5)</f>
        <v/>
      </c>
      <c r="T239" s="25">
        <f>G239*Refino!$D$15+Artefatos!$F$5</f>
        <v/>
      </c>
      <c r="U239" s="25">
        <f>T239*0.1125*FeeCraft/100</f>
        <v/>
      </c>
      <c r="V239" s="23">
        <f>IF(OR(Q239="",R239=""),"",Q239+R239+U239)</f>
        <v/>
      </c>
      <c r="W239" s="23">
        <f>IF(O239="","",O239*(1-TaxaVenda))</f>
        <v/>
      </c>
      <c r="X239" s="26">
        <f>IF(OR(V239="",W239=""),"",W239-V239)</f>
        <v/>
      </c>
      <c r="Y239" s="27">
        <f>IF(X239="","",X239/V239)</f>
        <v/>
      </c>
    </row>
    <row r="240">
      <c r="A240" t="inlineStr">
        <is>
          <t>Graveguard|Armadura|T6.1</t>
        </is>
      </c>
      <c r="B240" t="inlineStr">
        <is>
          <t>Graveguard</t>
        </is>
      </c>
      <c r="C240" t="inlineStr">
        <is>
          <t>Armadura</t>
        </is>
      </c>
      <c r="D240" t="inlineStr">
        <is>
          <t>T6.1</t>
        </is>
      </c>
      <c r="E240" t="n">
        <v>6</v>
      </c>
      <c r="F240" t="n">
        <v>1</v>
      </c>
      <c r="G240" t="n">
        <v>16</v>
      </c>
      <c r="H240" s="22" t="n"/>
      <c r="I240" s="22" t="n"/>
      <c r="J240" s="22" t="n"/>
      <c r="K240" s="22" t="n"/>
      <c r="L240" s="22" t="n"/>
      <c r="M240" s="22" t="n"/>
      <c r="N240" s="22" t="n"/>
      <c r="O240" s="23">
        <f>IF(COUNT(H240:N240)=0,"",MAX(H240:N240))</f>
        <v/>
      </c>
      <c r="P240" s="24">
        <f>IF(O240="","",INDEX($H$3:$N$3,MATCH(O240,H240:N240,0)))</f>
        <v/>
      </c>
      <c r="Q240" s="23">
        <f>IF(Refino!$L$16="","",G240*Refino!$L$16*(1-RetCraft))</f>
        <v/>
      </c>
      <c r="R240" s="25">
        <f>IF(Artefatos!$L$5="","",Artefatos!$L$5*(1+TaxaCompra))</f>
        <v/>
      </c>
      <c r="S240">
        <f>IF(Artefatos!$M$5="","",Artefatos!$M$5)</f>
        <v/>
      </c>
      <c r="T240" s="25">
        <f>G240*Refino!$D$16+Artefatos!$F$5</f>
        <v/>
      </c>
      <c r="U240" s="25">
        <f>T240*0.1125*FeeCraft/100</f>
        <v/>
      </c>
      <c r="V240" s="23">
        <f>IF(OR(Q240="",R240=""),"",Q240+R240+U240)</f>
        <v/>
      </c>
      <c r="W240" s="23">
        <f>IF(O240="","",O240*(1-TaxaVenda))</f>
        <v/>
      </c>
      <c r="X240" s="26">
        <f>IF(OR(V240="",W240=""),"",W240-V240)</f>
        <v/>
      </c>
      <c r="Y240" s="27">
        <f>IF(X240="","",X240/V240)</f>
        <v/>
      </c>
    </row>
    <row r="241">
      <c r="A241" t="inlineStr">
        <is>
          <t>Graveguard|Armadura|T6.2</t>
        </is>
      </c>
      <c r="B241" t="inlineStr">
        <is>
          <t>Graveguard</t>
        </is>
      </c>
      <c r="C241" t="inlineStr">
        <is>
          <t>Armadura</t>
        </is>
      </c>
      <c r="D241" t="inlineStr">
        <is>
          <t>T6.2</t>
        </is>
      </c>
      <c r="E241" t="n">
        <v>6</v>
      </c>
      <c r="F241" t="n">
        <v>2</v>
      </c>
      <c r="G241" t="n">
        <v>16</v>
      </c>
      <c r="H241" s="22" t="n"/>
      <c r="I241" s="22" t="n"/>
      <c r="J241" s="22" t="n"/>
      <c r="K241" s="22" t="n"/>
      <c r="L241" s="22" t="n"/>
      <c r="M241" s="22" t="n"/>
      <c r="N241" s="22" t="n"/>
      <c r="O241" s="23">
        <f>IF(COUNT(H241:N241)=0,"",MAX(H241:N241))</f>
        <v/>
      </c>
      <c r="P241" s="24">
        <f>IF(O241="","",INDEX($H$3:$N$3,MATCH(O241,H241:N241,0)))</f>
        <v/>
      </c>
      <c r="Q241" s="23">
        <f>IF(Refino!$L$17="","",G241*Refino!$L$17*(1-RetCraft))</f>
        <v/>
      </c>
      <c r="R241" s="25">
        <f>IF(Artefatos!$L$5="","",Artefatos!$L$5*(1+TaxaCompra))</f>
        <v/>
      </c>
      <c r="S241">
        <f>IF(Artefatos!$M$5="","",Artefatos!$M$5)</f>
        <v/>
      </c>
      <c r="T241" s="25">
        <f>G241*Refino!$D$17+Artefatos!$F$5</f>
        <v/>
      </c>
      <c r="U241" s="25">
        <f>T241*0.1125*FeeCraft/100</f>
        <v/>
      </c>
      <c r="V241" s="23">
        <f>IF(OR(Q241="",R241=""),"",Q241+R241+U241)</f>
        <v/>
      </c>
      <c r="W241" s="23">
        <f>IF(O241="","",O241*(1-TaxaVenda))</f>
        <v/>
      </c>
      <c r="X241" s="26">
        <f>IF(OR(V241="",W241=""),"",W241-V241)</f>
        <v/>
      </c>
      <c r="Y241" s="27">
        <f>IF(X241="","",X241/V241)</f>
        <v/>
      </c>
    </row>
    <row r="242">
      <c r="A242" t="inlineStr">
        <is>
          <t>Graveguard|Armadura|T6.3</t>
        </is>
      </c>
      <c r="B242" t="inlineStr">
        <is>
          <t>Graveguard</t>
        </is>
      </c>
      <c r="C242" t="inlineStr">
        <is>
          <t>Armadura</t>
        </is>
      </c>
      <c r="D242" t="inlineStr">
        <is>
          <t>T6.3</t>
        </is>
      </c>
      <c r="E242" t="n">
        <v>6</v>
      </c>
      <c r="F242" t="n">
        <v>3</v>
      </c>
      <c r="G242" t="n">
        <v>16</v>
      </c>
      <c r="H242" s="22" t="n"/>
      <c r="I242" s="22" t="n"/>
      <c r="J242" s="22" t="n"/>
      <c r="K242" s="22" t="n"/>
      <c r="L242" s="22" t="n"/>
      <c r="M242" s="22" t="n"/>
      <c r="N242" s="22" t="n"/>
      <c r="O242" s="23">
        <f>IF(COUNT(H242:N242)=0,"",MAX(H242:N242))</f>
        <v/>
      </c>
      <c r="P242" s="24">
        <f>IF(O242="","",INDEX($H$3:$N$3,MATCH(O242,H242:N242,0)))</f>
        <v/>
      </c>
      <c r="Q242" s="23">
        <f>IF(Refino!$L$18="","",G242*Refino!$L$18*(1-RetCraft))</f>
        <v/>
      </c>
      <c r="R242" s="25">
        <f>IF(Artefatos!$L$5="","",Artefatos!$L$5*(1+TaxaCompra))</f>
        <v/>
      </c>
      <c r="S242">
        <f>IF(Artefatos!$M$5="","",Artefatos!$M$5)</f>
        <v/>
      </c>
      <c r="T242" s="25">
        <f>G242*Refino!$D$18+Artefatos!$F$5</f>
        <v/>
      </c>
      <c r="U242" s="25">
        <f>T242*0.1125*FeeCraft/100</f>
        <v/>
      </c>
      <c r="V242" s="23">
        <f>IF(OR(Q242="",R242=""),"",Q242+R242+U242)</f>
        <v/>
      </c>
      <c r="W242" s="23">
        <f>IF(O242="","",O242*(1-TaxaVenda))</f>
        <v/>
      </c>
      <c r="X242" s="26">
        <f>IF(OR(V242="",W242=""),"",W242-V242)</f>
        <v/>
      </c>
      <c r="Y242" s="27">
        <f>IF(X242="","",X242/V242)</f>
        <v/>
      </c>
    </row>
    <row r="243">
      <c r="A243" t="inlineStr">
        <is>
          <t>Graveguard|Armadura|T6.4</t>
        </is>
      </c>
      <c r="B243" t="inlineStr">
        <is>
          <t>Graveguard</t>
        </is>
      </c>
      <c r="C243" t="inlineStr">
        <is>
          <t>Armadura</t>
        </is>
      </c>
      <c r="D243" t="inlineStr">
        <is>
          <t>T6.4</t>
        </is>
      </c>
      <c r="E243" t="n">
        <v>6</v>
      </c>
      <c r="F243" t="n">
        <v>4</v>
      </c>
      <c r="G243" t="n">
        <v>16</v>
      </c>
      <c r="H243" s="22" t="n"/>
      <c r="I243" s="22" t="n"/>
      <c r="J243" s="22" t="n"/>
      <c r="K243" s="22" t="n"/>
      <c r="L243" s="22" t="n"/>
      <c r="M243" s="22" t="n"/>
      <c r="N243" s="22" t="n"/>
      <c r="O243" s="23">
        <f>IF(COUNT(H243:N243)=0,"",MAX(H243:N243))</f>
        <v/>
      </c>
      <c r="P243" s="24">
        <f>IF(O243="","",INDEX($H$3:$N$3,MATCH(O243,H243:N243,0)))</f>
        <v/>
      </c>
      <c r="Q243" s="23">
        <f>IF(Refino!$L$19="","",G243*Refino!$L$19*(1-RetCraft))</f>
        <v/>
      </c>
      <c r="R243" s="25">
        <f>IF(Artefatos!$L$5="","",Artefatos!$L$5*(1+TaxaCompra))</f>
        <v/>
      </c>
      <c r="S243">
        <f>IF(Artefatos!$M$5="","",Artefatos!$M$5)</f>
        <v/>
      </c>
      <c r="T243" s="25">
        <f>G243*Refino!$D$19+Artefatos!$F$5</f>
        <v/>
      </c>
      <c r="U243" s="25">
        <f>T243*0.1125*FeeCraft/100</f>
        <v/>
      </c>
      <c r="V243" s="23">
        <f>IF(OR(Q243="",R243=""),"",Q243+R243+U243)</f>
        <v/>
      </c>
      <c r="W243" s="23">
        <f>IF(O243="","",O243*(1-TaxaVenda))</f>
        <v/>
      </c>
      <c r="X243" s="26">
        <f>IF(OR(V243="",W243=""),"",W243-V243)</f>
        <v/>
      </c>
      <c r="Y243" s="27">
        <f>IF(X243="","",X243/V243)</f>
        <v/>
      </c>
    </row>
    <row r="244">
      <c r="A244" t="inlineStr">
        <is>
          <t>Graveguard|Armadura|T7.0</t>
        </is>
      </c>
      <c r="B244" t="inlineStr">
        <is>
          <t>Graveguard</t>
        </is>
      </c>
      <c r="C244" t="inlineStr">
        <is>
          <t>Armadura</t>
        </is>
      </c>
      <c r="D244" t="inlineStr">
        <is>
          <t>T7.0</t>
        </is>
      </c>
      <c r="E244" t="n">
        <v>7</v>
      </c>
      <c r="F244" t="n">
        <v>0</v>
      </c>
      <c r="G244" t="n">
        <v>16</v>
      </c>
      <c r="H244" s="22" t="n"/>
      <c r="I244" s="22" t="n"/>
      <c r="J244" s="22" t="n"/>
      <c r="K244" s="22" t="n"/>
      <c r="L244" s="22" t="n"/>
      <c r="M244" s="22" t="n"/>
      <c r="N244" s="22" t="n"/>
      <c r="O244" s="23">
        <f>IF(COUNT(H244:N244)=0,"",MAX(H244:N244))</f>
        <v/>
      </c>
      <c r="P244" s="24">
        <f>IF(O244="","",INDEX($H$3:$N$3,MATCH(O244,H244:N244,0)))</f>
        <v/>
      </c>
      <c r="Q244" s="23">
        <f>IF(Refino!$L$20="","",G244*Refino!$L$20*(1-RetCraft))</f>
        <v/>
      </c>
      <c r="R244" s="25">
        <f>IF(Artefatos!$L$6="","",Artefatos!$L$6*(1+TaxaCompra))</f>
        <v/>
      </c>
      <c r="S244">
        <f>IF(Artefatos!$M$6="","",Artefatos!$M$6)</f>
        <v/>
      </c>
      <c r="T244" s="25">
        <f>G244*Refino!$D$20+Artefatos!$F$6</f>
        <v/>
      </c>
      <c r="U244" s="25">
        <f>T244*0.1125*FeeCraft/100</f>
        <v/>
      </c>
      <c r="V244" s="23">
        <f>IF(OR(Q244="",R244=""),"",Q244+R244+U244)</f>
        <v/>
      </c>
      <c r="W244" s="23">
        <f>IF(O244="","",O244*(1-TaxaVenda))</f>
        <v/>
      </c>
      <c r="X244" s="26">
        <f>IF(OR(V244="",W244=""),"",W244-V244)</f>
        <v/>
      </c>
      <c r="Y244" s="27">
        <f>IF(X244="","",X244/V244)</f>
        <v/>
      </c>
    </row>
    <row r="245">
      <c r="A245" t="inlineStr">
        <is>
          <t>Graveguard|Armadura|T7.1</t>
        </is>
      </c>
      <c r="B245" t="inlineStr">
        <is>
          <t>Graveguard</t>
        </is>
      </c>
      <c r="C245" t="inlineStr">
        <is>
          <t>Armadura</t>
        </is>
      </c>
      <c r="D245" t="inlineStr">
        <is>
          <t>T7.1</t>
        </is>
      </c>
      <c r="E245" t="n">
        <v>7</v>
      </c>
      <c r="F245" t="n">
        <v>1</v>
      </c>
      <c r="G245" t="n">
        <v>16</v>
      </c>
      <c r="H245" s="22" t="n"/>
      <c r="I245" s="22" t="n"/>
      <c r="J245" s="22" t="n"/>
      <c r="K245" s="22" t="n"/>
      <c r="L245" s="22" t="n"/>
      <c r="M245" s="22" t="n"/>
      <c r="N245" s="22" t="n"/>
      <c r="O245" s="23">
        <f>IF(COUNT(H245:N245)=0,"",MAX(H245:N245))</f>
        <v/>
      </c>
      <c r="P245" s="24">
        <f>IF(O245="","",INDEX($H$3:$N$3,MATCH(O245,H245:N245,0)))</f>
        <v/>
      </c>
      <c r="Q245" s="23">
        <f>IF(Refino!$L$21="","",G245*Refino!$L$21*(1-RetCraft))</f>
        <v/>
      </c>
      <c r="R245" s="25">
        <f>IF(Artefatos!$L$6="","",Artefatos!$L$6*(1+TaxaCompra))</f>
        <v/>
      </c>
      <c r="S245">
        <f>IF(Artefatos!$M$6="","",Artefatos!$M$6)</f>
        <v/>
      </c>
      <c r="T245" s="25">
        <f>G245*Refino!$D$21+Artefatos!$F$6</f>
        <v/>
      </c>
      <c r="U245" s="25">
        <f>T245*0.1125*FeeCraft/100</f>
        <v/>
      </c>
      <c r="V245" s="23">
        <f>IF(OR(Q245="",R245=""),"",Q245+R245+U245)</f>
        <v/>
      </c>
      <c r="W245" s="23">
        <f>IF(O245="","",O245*(1-TaxaVenda))</f>
        <v/>
      </c>
      <c r="X245" s="26">
        <f>IF(OR(V245="",W245=""),"",W245-V245)</f>
        <v/>
      </c>
      <c r="Y245" s="27">
        <f>IF(X245="","",X245/V245)</f>
        <v/>
      </c>
    </row>
    <row r="246">
      <c r="A246" t="inlineStr">
        <is>
          <t>Graveguard|Armadura|T7.2</t>
        </is>
      </c>
      <c r="B246" t="inlineStr">
        <is>
          <t>Graveguard</t>
        </is>
      </c>
      <c r="C246" t="inlineStr">
        <is>
          <t>Armadura</t>
        </is>
      </c>
      <c r="D246" t="inlineStr">
        <is>
          <t>T7.2</t>
        </is>
      </c>
      <c r="E246" t="n">
        <v>7</v>
      </c>
      <c r="F246" t="n">
        <v>2</v>
      </c>
      <c r="G246" t="n">
        <v>16</v>
      </c>
      <c r="H246" s="22" t="n"/>
      <c r="I246" s="22" t="n"/>
      <c r="J246" s="22" t="n"/>
      <c r="K246" s="22" t="n"/>
      <c r="L246" s="22" t="n"/>
      <c r="M246" s="22" t="n"/>
      <c r="N246" s="22" t="n"/>
      <c r="O246" s="23">
        <f>IF(COUNT(H246:N246)=0,"",MAX(H246:N246))</f>
        <v/>
      </c>
      <c r="P246" s="24">
        <f>IF(O246="","",INDEX($H$3:$N$3,MATCH(O246,H246:N246,0)))</f>
        <v/>
      </c>
      <c r="Q246" s="23">
        <f>IF(Refino!$L$22="","",G246*Refino!$L$22*(1-RetCraft))</f>
        <v/>
      </c>
      <c r="R246" s="25">
        <f>IF(Artefatos!$L$6="","",Artefatos!$L$6*(1+TaxaCompra))</f>
        <v/>
      </c>
      <c r="S246">
        <f>IF(Artefatos!$M$6="","",Artefatos!$M$6)</f>
        <v/>
      </c>
      <c r="T246" s="25">
        <f>G246*Refino!$D$22+Artefatos!$F$6</f>
        <v/>
      </c>
      <c r="U246" s="25">
        <f>T246*0.1125*FeeCraft/100</f>
        <v/>
      </c>
      <c r="V246" s="23">
        <f>IF(OR(Q246="",R246=""),"",Q246+R246+U246)</f>
        <v/>
      </c>
      <c r="W246" s="23">
        <f>IF(O246="","",O246*(1-TaxaVenda))</f>
        <v/>
      </c>
      <c r="X246" s="26">
        <f>IF(OR(V246="",W246=""),"",W246-V246)</f>
        <v/>
      </c>
      <c r="Y246" s="27">
        <f>IF(X246="","",X246/V246)</f>
        <v/>
      </c>
    </row>
    <row r="247">
      <c r="A247" t="inlineStr">
        <is>
          <t>Graveguard|Armadura|T7.3</t>
        </is>
      </c>
      <c r="B247" t="inlineStr">
        <is>
          <t>Graveguard</t>
        </is>
      </c>
      <c r="C247" t="inlineStr">
        <is>
          <t>Armadura</t>
        </is>
      </c>
      <c r="D247" t="inlineStr">
        <is>
          <t>T7.3</t>
        </is>
      </c>
      <c r="E247" t="n">
        <v>7</v>
      </c>
      <c r="F247" t="n">
        <v>3</v>
      </c>
      <c r="G247" t="n">
        <v>16</v>
      </c>
      <c r="H247" s="22" t="n"/>
      <c r="I247" s="22" t="n"/>
      <c r="J247" s="22" t="n"/>
      <c r="K247" s="22" t="n"/>
      <c r="L247" s="22" t="n"/>
      <c r="M247" s="22" t="n"/>
      <c r="N247" s="22" t="n"/>
      <c r="O247" s="23">
        <f>IF(COUNT(H247:N247)=0,"",MAX(H247:N247))</f>
        <v/>
      </c>
      <c r="P247" s="24">
        <f>IF(O247="","",INDEX($H$3:$N$3,MATCH(O247,H247:N247,0)))</f>
        <v/>
      </c>
      <c r="Q247" s="23">
        <f>IF(Refino!$L$23="","",G247*Refino!$L$23*(1-RetCraft))</f>
        <v/>
      </c>
      <c r="R247" s="25">
        <f>IF(Artefatos!$L$6="","",Artefatos!$L$6*(1+TaxaCompra))</f>
        <v/>
      </c>
      <c r="S247">
        <f>IF(Artefatos!$M$6="","",Artefatos!$M$6)</f>
        <v/>
      </c>
      <c r="T247" s="25">
        <f>G247*Refino!$D$23+Artefatos!$F$6</f>
        <v/>
      </c>
      <c r="U247" s="25">
        <f>T247*0.1125*FeeCraft/100</f>
        <v/>
      </c>
      <c r="V247" s="23">
        <f>IF(OR(Q247="",R247=""),"",Q247+R247+U247)</f>
        <v/>
      </c>
      <c r="W247" s="23">
        <f>IF(O247="","",O247*(1-TaxaVenda))</f>
        <v/>
      </c>
      <c r="X247" s="26">
        <f>IF(OR(V247="",W247=""),"",W247-V247)</f>
        <v/>
      </c>
      <c r="Y247" s="27">
        <f>IF(X247="","",X247/V247)</f>
        <v/>
      </c>
    </row>
    <row r="248">
      <c r="A248" t="inlineStr">
        <is>
          <t>Graveguard|Armadura|T7.4</t>
        </is>
      </c>
      <c r="B248" t="inlineStr">
        <is>
          <t>Graveguard</t>
        </is>
      </c>
      <c r="C248" t="inlineStr">
        <is>
          <t>Armadura</t>
        </is>
      </c>
      <c r="D248" t="inlineStr">
        <is>
          <t>T7.4</t>
        </is>
      </c>
      <c r="E248" t="n">
        <v>7</v>
      </c>
      <c r="F248" t="n">
        <v>4</v>
      </c>
      <c r="G248" t="n">
        <v>16</v>
      </c>
      <c r="H248" s="22" t="n"/>
      <c r="I248" s="22" t="n"/>
      <c r="J248" s="22" t="n"/>
      <c r="K248" s="22" t="n"/>
      <c r="L248" s="22" t="n"/>
      <c r="M248" s="22" t="n"/>
      <c r="N248" s="22" t="n"/>
      <c r="O248" s="23">
        <f>IF(COUNT(H248:N248)=0,"",MAX(H248:N248))</f>
        <v/>
      </c>
      <c r="P248" s="24">
        <f>IF(O248="","",INDEX($H$3:$N$3,MATCH(O248,H248:N248,0)))</f>
        <v/>
      </c>
      <c r="Q248" s="23">
        <f>IF(Refino!$L$24="","",G248*Refino!$L$24*(1-RetCraft))</f>
        <v/>
      </c>
      <c r="R248" s="25">
        <f>IF(Artefatos!$L$6="","",Artefatos!$L$6*(1+TaxaCompra))</f>
        <v/>
      </c>
      <c r="S248">
        <f>IF(Artefatos!$M$6="","",Artefatos!$M$6)</f>
        <v/>
      </c>
      <c r="T248" s="25">
        <f>G248*Refino!$D$24+Artefatos!$F$6</f>
        <v/>
      </c>
      <c r="U248" s="25">
        <f>T248*0.1125*FeeCraft/100</f>
        <v/>
      </c>
      <c r="V248" s="23">
        <f>IF(OR(Q248="",R248=""),"",Q248+R248+U248)</f>
        <v/>
      </c>
      <c r="W248" s="23">
        <f>IF(O248="","",O248*(1-TaxaVenda))</f>
        <v/>
      </c>
      <c r="X248" s="26">
        <f>IF(OR(V248="",W248=""),"",W248-V248)</f>
        <v/>
      </c>
      <c r="Y248" s="27">
        <f>IF(X248="","",X248/V248)</f>
        <v/>
      </c>
    </row>
    <row r="249">
      <c r="A249" t="inlineStr">
        <is>
          <t>Graveguard|Armadura|T8.0</t>
        </is>
      </c>
      <c r="B249" t="inlineStr">
        <is>
          <t>Graveguard</t>
        </is>
      </c>
      <c r="C249" t="inlineStr">
        <is>
          <t>Armadura</t>
        </is>
      </c>
      <c r="D249" t="inlineStr">
        <is>
          <t>T8.0</t>
        </is>
      </c>
      <c r="E249" t="n">
        <v>8</v>
      </c>
      <c r="F249" t="n">
        <v>0</v>
      </c>
      <c r="G249" t="n">
        <v>16</v>
      </c>
      <c r="H249" s="22" t="n"/>
      <c r="I249" s="22" t="n"/>
      <c r="J249" s="22" t="n"/>
      <c r="K249" s="22" t="n"/>
      <c r="L249" s="22" t="n"/>
      <c r="M249" s="22" t="n"/>
      <c r="N249" s="22" t="n"/>
      <c r="O249" s="23">
        <f>IF(COUNT(H249:N249)=0,"",MAX(H249:N249))</f>
        <v/>
      </c>
      <c r="P249" s="24">
        <f>IF(O249="","",INDEX($H$3:$N$3,MATCH(O249,H249:N249,0)))</f>
        <v/>
      </c>
      <c r="Q249" s="23">
        <f>IF(Refino!$L$25="","",G249*Refino!$L$25*(1-RetCraft))</f>
        <v/>
      </c>
      <c r="R249" s="25">
        <f>IF(Artefatos!$L$7="","",Artefatos!$L$7*(1+TaxaCompra))</f>
        <v/>
      </c>
      <c r="S249">
        <f>IF(Artefatos!$M$7="","",Artefatos!$M$7)</f>
        <v/>
      </c>
      <c r="T249" s="25">
        <f>G249*Refino!$D$25+Artefatos!$F$7</f>
        <v/>
      </c>
      <c r="U249" s="25">
        <f>T249*0.1125*FeeCraft/100</f>
        <v/>
      </c>
      <c r="V249" s="23">
        <f>IF(OR(Q249="",R249=""),"",Q249+R249+U249)</f>
        <v/>
      </c>
      <c r="W249" s="23">
        <f>IF(O249="","",O249*(1-TaxaVenda))</f>
        <v/>
      </c>
      <c r="X249" s="26">
        <f>IF(OR(V249="",W249=""),"",W249-V249)</f>
        <v/>
      </c>
      <c r="Y249" s="27">
        <f>IF(X249="","",X249/V249)</f>
        <v/>
      </c>
    </row>
    <row r="250">
      <c r="A250" t="inlineStr">
        <is>
          <t>Graveguard|Armadura|T8.1</t>
        </is>
      </c>
      <c r="B250" t="inlineStr">
        <is>
          <t>Graveguard</t>
        </is>
      </c>
      <c r="C250" t="inlineStr">
        <is>
          <t>Armadura</t>
        </is>
      </c>
      <c r="D250" t="inlineStr">
        <is>
          <t>T8.1</t>
        </is>
      </c>
      <c r="E250" t="n">
        <v>8</v>
      </c>
      <c r="F250" t="n">
        <v>1</v>
      </c>
      <c r="G250" t="n">
        <v>16</v>
      </c>
      <c r="H250" s="22" t="n"/>
      <c r="I250" s="22" t="n"/>
      <c r="J250" s="22" t="n"/>
      <c r="K250" s="22" t="n"/>
      <c r="L250" s="22" t="n"/>
      <c r="M250" s="22" t="n"/>
      <c r="N250" s="22" t="n"/>
      <c r="O250" s="23">
        <f>IF(COUNT(H250:N250)=0,"",MAX(H250:N250))</f>
        <v/>
      </c>
      <c r="P250" s="24">
        <f>IF(O250="","",INDEX($H$3:$N$3,MATCH(O250,H250:N250,0)))</f>
        <v/>
      </c>
      <c r="Q250" s="23">
        <f>IF(Refino!$L$26="","",G250*Refino!$L$26*(1-RetCraft))</f>
        <v/>
      </c>
      <c r="R250" s="25">
        <f>IF(Artefatos!$L$7="","",Artefatos!$L$7*(1+TaxaCompra))</f>
        <v/>
      </c>
      <c r="S250">
        <f>IF(Artefatos!$M$7="","",Artefatos!$M$7)</f>
        <v/>
      </c>
      <c r="T250" s="25">
        <f>G250*Refino!$D$26+Artefatos!$F$7</f>
        <v/>
      </c>
      <c r="U250" s="25">
        <f>T250*0.1125*FeeCraft/100</f>
        <v/>
      </c>
      <c r="V250" s="23">
        <f>IF(OR(Q250="",R250=""),"",Q250+R250+U250)</f>
        <v/>
      </c>
      <c r="W250" s="23">
        <f>IF(O250="","",O250*(1-TaxaVenda))</f>
        <v/>
      </c>
      <c r="X250" s="26">
        <f>IF(OR(V250="",W250=""),"",W250-V250)</f>
        <v/>
      </c>
      <c r="Y250" s="27">
        <f>IF(X250="","",X250/V250)</f>
        <v/>
      </c>
    </row>
    <row r="251">
      <c r="A251" t="inlineStr">
        <is>
          <t>Graveguard|Armadura|T8.2</t>
        </is>
      </c>
      <c r="B251" t="inlineStr">
        <is>
          <t>Graveguard</t>
        </is>
      </c>
      <c r="C251" t="inlineStr">
        <is>
          <t>Armadura</t>
        </is>
      </c>
      <c r="D251" t="inlineStr">
        <is>
          <t>T8.2</t>
        </is>
      </c>
      <c r="E251" t="n">
        <v>8</v>
      </c>
      <c r="F251" t="n">
        <v>2</v>
      </c>
      <c r="G251" t="n">
        <v>16</v>
      </c>
      <c r="H251" s="22" t="n"/>
      <c r="I251" s="22" t="n"/>
      <c r="J251" s="22" t="n"/>
      <c r="K251" s="22" t="n"/>
      <c r="L251" s="22" t="n"/>
      <c r="M251" s="22" t="n"/>
      <c r="N251" s="22" t="n"/>
      <c r="O251" s="23">
        <f>IF(COUNT(H251:N251)=0,"",MAX(H251:N251))</f>
        <v/>
      </c>
      <c r="P251" s="24">
        <f>IF(O251="","",INDEX($H$3:$N$3,MATCH(O251,H251:N251,0)))</f>
        <v/>
      </c>
      <c r="Q251" s="23">
        <f>IF(Refino!$L$27="","",G251*Refino!$L$27*(1-RetCraft))</f>
        <v/>
      </c>
      <c r="R251" s="25">
        <f>IF(Artefatos!$L$7="","",Artefatos!$L$7*(1+TaxaCompra))</f>
        <v/>
      </c>
      <c r="S251">
        <f>IF(Artefatos!$M$7="","",Artefatos!$M$7)</f>
        <v/>
      </c>
      <c r="T251" s="25">
        <f>G251*Refino!$D$27+Artefatos!$F$7</f>
        <v/>
      </c>
      <c r="U251" s="25">
        <f>T251*0.1125*FeeCraft/100</f>
        <v/>
      </c>
      <c r="V251" s="23">
        <f>IF(OR(Q251="",R251=""),"",Q251+R251+U251)</f>
        <v/>
      </c>
      <c r="W251" s="23">
        <f>IF(O251="","",O251*(1-TaxaVenda))</f>
        <v/>
      </c>
      <c r="X251" s="26">
        <f>IF(OR(V251="",W251=""),"",W251-V251)</f>
        <v/>
      </c>
      <c r="Y251" s="27">
        <f>IF(X251="","",X251/V251)</f>
        <v/>
      </c>
    </row>
    <row r="252">
      <c r="A252" t="inlineStr">
        <is>
          <t>Graveguard|Armadura|T8.3</t>
        </is>
      </c>
      <c r="B252" t="inlineStr">
        <is>
          <t>Graveguard</t>
        </is>
      </c>
      <c r="C252" t="inlineStr">
        <is>
          <t>Armadura</t>
        </is>
      </c>
      <c r="D252" t="inlineStr">
        <is>
          <t>T8.3</t>
        </is>
      </c>
      <c r="E252" t="n">
        <v>8</v>
      </c>
      <c r="F252" t="n">
        <v>3</v>
      </c>
      <c r="G252" t="n">
        <v>16</v>
      </c>
      <c r="H252" s="22" t="n"/>
      <c r="I252" s="22" t="n"/>
      <c r="J252" s="22" t="n"/>
      <c r="K252" s="22" t="n"/>
      <c r="L252" s="22" t="n"/>
      <c r="M252" s="22" t="n"/>
      <c r="N252" s="22" t="n"/>
      <c r="O252" s="23">
        <f>IF(COUNT(H252:N252)=0,"",MAX(H252:N252))</f>
        <v/>
      </c>
      <c r="P252" s="24">
        <f>IF(O252="","",INDEX($H$3:$N$3,MATCH(O252,H252:N252,0)))</f>
        <v/>
      </c>
      <c r="Q252" s="23">
        <f>IF(Refino!$L$28="","",G252*Refino!$L$28*(1-RetCraft))</f>
        <v/>
      </c>
      <c r="R252" s="25">
        <f>IF(Artefatos!$L$7="","",Artefatos!$L$7*(1+TaxaCompra))</f>
        <v/>
      </c>
      <c r="S252">
        <f>IF(Artefatos!$M$7="","",Artefatos!$M$7)</f>
        <v/>
      </c>
      <c r="T252" s="25">
        <f>G252*Refino!$D$28+Artefatos!$F$7</f>
        <v/>
      </c>
      <c r="U252" s="25">
        <f>T252*0.1125*FeeCraft/100</f>
        <v/>
      </c>
      <c r="V252" s="23">
        <f>IF(OR(Q252="",R252=""),"",Q252+R252+U252)</f>
        <v/>
      </c>
      <c r="W252" s="23">
        <f>IF(O252="","",O252*(1-TaxaVenda))</f>
        <v/>
      </c>
      <c r="X252" s="26">
        <f>IF(OR(V252="",W252=""),"",W252-V252)</f>
        <v/>
      </c>
      <c r="Y252" s="27">
        <f>IF(X252="","",X252/V252)</f>
        <v/>
      </c>
    </row>
    <row r="253">
      <c r="A253" t="inlineStr">
        <is>
          <t>Graveguard|Armadura|T8.4</t>
        </is>
      </c>
      <c r="B253" t="inlineStr">
        <is>
          <t>Graveguard</t>
        </is>
      </c>
      <c r="C253" t="inlineStr">
        <is>
          <t>Armadura</t>
        </is>
      </c>
      <c r="D253" t="inlineStr">
        <is>
          <t>T8.4</t>
        </is>
      </c>
      <c r="E253" t="n">
        <v>8</v>
      </c>
      <c r="F253" t="n">
        <v>4</v>
      </c>
      <c r="G253" t="n">
        <v>16</v>
      </c>
      <c r="H253" s="22" t="n"/>
      <c r="I253" s="22" t="n"/>
      <c r="J253" s="22" t="n"/>
      <c r="K253" s="22" t="n"/>
      <c r="L253" s="22" t="n"/>
      <c r="M253" s="22" t="n"/>
      <c r="N253" s="22" t="n"/>
      <c r="O253" s="23">
        <f>IF(COUNT(H253:N253)=0,"",MAX(H253:N253))</f>
        <v/>
      </c>
      <c r="P253" s="24">
        <f>IF(O253="","",INDEX($H$3:$N$3,MATCH(O253,H253:N253,0)))</f>
        <v/>
      </c>
      <c r="Q253" s="23">
        <f>IF(Refino!$L$29="","",G253*Refino!$L$29*(1-RetCraft))</f>
        <v/>
      </c>
      <c r="R253" s="25">
        <f>IF(Artefatos!$L$7="","",Artefatos!$L$7*(1+TaxaCompra))</f>
        <v/>
      </c>
      <c r="S253">
        <f>IF(Artefatos!$M$7="","",Artefatos!$M$7)</f>
        <v/>
      </c>
      <c r="T253" s="25">
        <f>G253*Refino!$D$29+Artefatos!$F$7</f>
        <v/>
      </c>
      <c r="U253" s="25">
        <f>T253*0.1125*FeeCraft/100</f>
        <v/>
      </c>
      <c r="V253" s="23">
        <f>IF(OR(Q253="",R253=""),"",Q253+R253+U253)</f>
        <v/>
      </c>
      <c r="W253" s="23">
        <f>IF(O253="","",O253*(1-TaxaVenda))</f>
        <v/>
      </c>
      <c r="X253" s="26">
        <f>IF(OR(V253="",W253=""),"",W253-V253)</f>
        <v/>
      </c>
      <c r="Y253" s="27">
        <f>IF(X253="","",X253/V253)</f>
        <v/>
      </c>
    </row>
    <row r="254">
      <c r="A254" t="inlineStr">
        <is>
          <t>Graveguard|Elmo|T4.0</t>
        </is>
      </c>
      <c r="B254" t="inlineStr">
        <is>
          <t>Graveguard</t>
        </is>
      </c>
      <c r="C254" t="inlineStr">
        <is>
          <t>Elmo</t>
        </is>
      </c>
      <c r="D254" t="inlineStr">
        <is>
          <t>T4.0</t>
        </is>
      </c>
      <c r="E254" t="n">
        <v>4</v>
      </c>
      <c r="F254" t="n">
        <v>0</v>
      </c>
      <c r="G254" t="n">
        <v>8</v>
      </c>
      <c r="H254" s="22" t="n"/>
      <c r="I254" s="22" t="n"/>
      <c r="J254" s="22" t="n"/>
      <c r="K254" s="22" t="n"/>
      <c r="L254" s="22" t="n"/>
      <c r="M254" s="22" t="n"/>
      <c r="N254" s="22" t="n"/>
      <c r="O254" s="23">
        <f>IF(COUNT(H254:N254)=0,"",MAX(H254:N254))</f>
        <v/>
      </c>
      <c r="P254" s="24">
        <f>IF(O254="","",INDEX($H$3:$N$3,MATCH(O254,H254:N254,0)))</f>
        <v/>
      </c>
      <c r="Q254" s="23">
        <f>IF(Refino!$L$5="","",G254*Refino!$L$5*(1-RetCraft))</f>
        <v/>
      </c>
      <c r="R254" s="25">
        <f>IF(Artefatos!$L$8="","",Artefatos!$L$8*(1+TaxaCompra))</f>
        <v/>
      </c>
      <c r="S254">
        <f>IF(Artefatos!$M$8="","",Artefatos!$M$8)</f>
        <v/>
      </c>
      <c r="T254" s="25">
        <f>G254*Refino!$D$5+Artefatos!$F$8</f>
        <v/>
      </c>
      <c r="U254" s="25">
        <f>T254*0.1125*FeeCraft/100</f>
        <v/>
      </c>
      <c r="V254" s="23">
        <f>IF(OR(Q254="",R254=""),"",Q254+R254+U254)</f>
        <v/>
      </c>
      <c r="W254" s="23">
        <f>IF(O254="","",O254*(1-TaxaVenda))</f>
        <v/>
      </c>
      <c r="X254" s="26">
        <f>IF(OR(V254="",W254=""),"",W254-V254)</f>
        <v/>
      </c>
      <c r="Y254" s="27">
        <f>IF(X254="","",X254/V254)</f>
        <v/>
      </c>
    </row>
    <row r="255">
      <c r="A255" t="inlineStr">
        <is>
          <t>Graveguard|Elmo|T4.1</t>
        </is>
      </c>
      <c r="B255" t="inlineStr">
        <is>
          <t>Graveguard</t>
        </is>
      </c>
      <c r="C255" t="inlineStr">
        <is>
          <t>Elmo</t>
        </is>
      </c>
      <c r="D255" t="inlineStr">
        <is>
          <t>T4.1</t>
        </is>
      </c>
      <c r="E255" t="n">
        <v>4</v>
      </c>
      <c r="F255" t="n">
        <v>1</v>
      </c>
      <c r="G255" t="n">
        <v>8</v>
      </c>
      <c r="H255" s="22" t="n"/>
      <c r="I255" s="22" t="n"/>
      <c r="J255" s="22" t="n"/>
      <c r="K255" s="22" t="n"/>
      <c r="L255" s="22" t="n"/>
      <c r="M255" s="22" t="n"/>
      <c r="N255" s="22" t="n"/>
      <c r="O255" s="23">
        <f>IF(COUNT(H255:N255)=0,"",MAX(H255:N255))</f>
        <v/>
      </c>
      <c r="P255" s="24">
        <f>IF(O255="","",INDEX($H$3:$N$3,MATCH(O255,H255:N255,0)))</f>
        <v/>
      </c>
      <c r="Q255" s="23">
        <f>IF(Refino!$L$6="","",G255*Refino!$L$6*(1-RetCraft))</f>
        <v/>
      </c>
      <c r="R255" s="25">
        <f>IF(Artefatos!$L$8="","",Artefatos!$L$8*(1+TaxaCompra))</f>
        <v/>
      </c>
      <c r="S255">
        <f>IF(Artefatos!$M$8="","",Artefatos!$M$8)</f>
        <v/>
      </c>
      <c r="T255" s="25">
        <f>G255*Refino!$D$6+Artefatos!$F$8</f>
        <v/>
      </c>
      <c r="U255" s="25">
        <f>T255*0.1125*FeeCraft/100</f>
        <v/>
      </c>
      <c r="V255" s="23">
        <f>IF(OR(Q255="",R255=""),"",Q255+R255+U255)</f>
        <v/>
      </c>
      <c r="W255" s="23">
        <f>IF(O255="","",O255*(1-TaxaVenda))</f>
        <v/>
      </c>
      <c r="X255" s="26">
        <f>IF(OR(V255="",W255=""),"",W255-V255)</f>
        <v/>
      </c>
      <c r="Y255" s="27">
        <f>IF(X255="","",X255/V255)</f>
        <v/>
      </c>
    </row>
    <row r="256">
      <c r="A256" t="inlineStr">
        <is>
          <t>Graveguard|Elmo|T4.2</t>
        </is>
      </c>
      <c r="B256" t="inlineStr">
        <is>
          <t>Graveguard</t>
        </is>
      </c>
      <c r="C256" t="inlineStr">
        <is>
          <t>Elmo</t>
        </is>
      </c>
      <c r="D256" t="inlineStr">
        <is>
          <t>T4.2</t>
        </is>
      </c>
      <c r="E256" t="n">
        <v>4</v>
      </c>
      <c r="F256" t="n">
        <v>2</v>
      </c>
      <c r="G256" t="n">
        <v>8</v>
      </c>
      <c r="H256" s="22" t="n"/>
      <c r="I256" s="22" t="n"/>
      <c r="J256" s="22" t="n"/>
      <c r="K256" s="22" t="n"/>
      <c r="L256" s="22" t="n"/>
      <c r="M256" s="22" t="n"/>
      <c r="N256" s="22" t="n"/>
      <c r="O256" s="23">
        <f>IF(COUNT(H256:N256)=0,"",MAX(H256:N256))</f>
        <v/>
      </c>
      <c r="P256" s="24">
        <f>IF(O256="","",INDEX($H$3:$N$3,MATCH(O256,H256:N256,0)))</f>
        <v/>
      </c>
      <c r="Q256" s="23">
        <f>IF(Refino!$L$7="","",G256*Refino!$L$7*(1-RetCraft))</f>
        <v/>
      </c>
      <c r="R256" s="25">
        <f>IF(Artefatos!$L$8="","",Artefatos!$L$8*(1+TaxaCompra))</f>
        <v/>
      </c>
      <c r="S256">
        <f>IF(Artefatos!$M$8="","",Artefatos!$M$8)</f>
        <v/>
      </c>
      <c r="T256" s="25">
        <f>G256*Refino!$D$7+Artefatos!$F$8</f>
        <v/>
      </c>
      <c r="U256" s="25">
        <f>T256*0.1125*FeeCraft/100</f>
        <v/>
      </c>
      <c r="V256" s="23">
        <f>IF(OR(Q256="",R256=""),"",Q256+R256+U256)</f>
        <v/>
      </c>
      <c r="W256" s="23">
        <f>IF(O256="","",O256*(1-TaxaVenda))</f>
        <v/>
      </c>
      <c r="X256" s="26">
        <f>IF(OR(V256="",W256=""),"",W256-V256)</f>
        <v/>
      </c>
      <c r="Y256" s="27">
        <f>IF(X256="","",X256/V256)</f>
        <v/>
      </c>
    </row>
    <row r="257">
      <c r="A257" t="inlineStr">
        <is>
          <t>Graveguard|Elmo|T4.3</t>
        </is>
      </c>
      <c r="B257" t="inlineStr">
        <is>
          <t>Graveguard</t>
        </is>
      </c>
      <c r="C257" t="inlineStr">
        <is>
          <t>Elmo</t>
        </is>
      </c>
      <c r="D257" t="inlineStr">
        <is>
          <t>T4.3</t>
        </is>
      </c>
      <c r="E257" t="n">
        <v>4</v>
      </c>
      <c r="F257" t="n">
        <v>3</v>
      </c>
      <c r="G257" t="n">
        <v>8</v>
      </c>
      <c r="H257" s="22" t="n"/>
      <c r="I257" s="22" t="n"/>
      <c r="J257" s="22" t="n"/>
      <c r="K257" s="22" t="n"/>
      <c r="L257" s="22" t="n"/>
      <c r="M257" s="22" t="n"/>
      <c r="N257" s="22" t="n"/>
      <c r="O257" s="23">
        <f>IF(COUNT(H257:N257)=0,"",MAX(H257:N257))</f>
        <v/>
      </c>
      <c r="P257" s="24">
        <f>IF(O257="","",INDEX($H$3:$N$3,MATCH(O257,H257:N257,0)))</f>
        <v/>
      </c>
      <c r="Q257" s="23">
        <f>IF(Refino!$L$8="","",G257*Refino!$L$8*(1-RetCraft))</f>
        <v/>
      </c>
      <c r="R257" s="25">
        <f>IF(Artefatos!$L$8="","",Artefatos!$L$8*(1+TaxaCompra))</f>
        <v/>
      </c>
      <c r="S257">
        <f>IF(Artefatos!$M$8="","",Artefatos!$M$8)</f>
        <v/>
      </c>
      <c r="T257" s="25">
        <f>G257*Refino!$D$8+Artefatos!$F$8</f>
        <v/>
      </c>
      <c r="U257" s="25">
        <f>T257*0.1125*FeeCraft/100</f>
        <v/>
      </c>
      <c r="V257" s="23">
        <f>IF(OR(Q257="",R257=""),"",Q257+R257+U257)</f>
        <v/>
      </c>
      <c r="W257" s="23">
        <f>IF(O257="","",O257*(1-TaxaVenda))</f>
        <v/>
      </c>
      <c r="X257" s="26">
        <f>IF(OR(V257="",W257=""),"",W257-V257)</f>
        <v/>
      </c>
      <c r="Y257" s="27">
        <f>IF(X257="","",X257/V257)</f>
        <v/>
      </c>
    </row>
    <row r="258">
      <c r="A258" t="inlineStr">
        <is>
          <t>Graveguard|Elmo|T4.4</t>
        </is>
      </c>
      <c r="B258" t="inlineStr">
        <is>
          <t>Graveguard</t>
        </is>
      </c>
      <c r="C258" t="inlineStr">
        <is>
          <t>Elmo</t>
        </is>
      </c>
      <c r="D258" t="inlineStr">
        <is>
          <t>T4.4</t>
        </is>
      </c>
      <c r="E258" t="n">
        <v>4</v>
      </c>
      <c r="F258" t="n">
        <v>4</v>
      </c>
      <c r="G258" t="n">
        <v>8</v>
      </c>
      <c r="H258" s="22" t="n"/>
      <c r="I258" s="22" t="n"/>
      <c r="J258" s="22" t="n"/>
      <c r="K258" s="22" t="n"/>
      <c r="L258" s="22" t="n"/>
      <c r="M258" s="22" t="n"/>
      <c r="N258" s="22" t="n"/>
      <c r="O258" s="23">
        <f>IF(COUNT(H258:N258)=0,"",MAX(H258:N258))</f>
        <v/>
      </c>
      <c r="P258" s="24">
        <f>IF(O258="","",INDEX($H$3:$N$3,MATCH(O258,H258:N258,0)))</f>
        <v/>
      </c>
      <c r="Q258" s="23">
        <f>IF(Refino!$L$9="","",G258*Refino!$L$9*(1-RetCraft))</f>
        <v/>
      </c>
      <c r="R258" s="25">
        <f>IF(Artefatos!$L$8="","",Artefatos!$L$8*(1+TaxaCompra))</f>
        <v/>
      </c>
      <c r="S258">
        <f>IF(Artefatos!$M$8="","",Artefatos!$M$8)</f>
        <v/>
      </c>
      <c r="T258" s="25">
        <f>G258*Refino!$D$9+Artefatos!$F$8</f>
        <v/>
      </c>
      <c r="U258" s="25">
        <f>T258*0.1125*FeeCraft/100</f>
        <v/>
      </c>
      <c r="V258" s="23">
        <f>IF(OR(Q258="",R258=""),"",Q258+R258+U258)</f>
        <v/>
      </c>
      <c r="W258" s="23">
        <f>IF(O258="","",O258*(1-TaxaVenda))</f>
        <v/>
      </c>
      <c r="X258" s="26">
        <f>IF(OR(V258="",W258=""),"",W258-V258)</f>
        <v/>
      </c>
      <c r="Y258" s="27">
        <f>IF(X258="","",X258/V258)</f>
        <v/>
      </c>
    </row>
    <row r="259">
      <c r="A259" t="inlineStr">
        <is>
          <t>Graveguard|Elmo|T5.0</t>
        </is>
      </c>
      <c r="B259" t="inlineStr">
        <is>
          <t>Graveguard</t>
        </is>
      </c>
      <c r="C259" t="inlineStr">
        <is>
          <t>Elmo</t>
        </is>
      </c>
      <c r="D259" t="inlineStr">
        <is>
          <t>T5.0</t>
        </is>
      </c>
      <c r="E259" t="n">
        <v>5</v>
      </c>
      <c r="F259" t="n">
        <v>0</v>
      </c>
      <c r="G259" t="n">
        <v>8</v>
      </c>
      <c r="H259" s="22" t="n"/>
      <c r="I259" s="22" t="n"/>
      <c r="J259" s="22" t="n"/>
      <c r="K259" s="22" t="n"/>
      <c r="L259" s="22" t="n"/>
      <c r="M259" s="22" t="n"/>
      <c r="N259" s="22" t="n"/>
      <c r="O259" s="23">
        <f>IF(COUNT(H259:N259)=0,"",MAX(H259:N259))</f>
        <v/>
      </c>
      <c r="P259" s="24">
        <f>IF(O259="","",INDEX($H$3:$N$3,MATCH(O259,H259:N259,0)))</f>
        <v/>
      </c>
      <c r="Q259" s="23">
        <f>IF(Refino!$L$10="","",G259*Refino!$L$10*(1-RetCraft))</f>
        <v/>
      </c>
      <c r="R259" s="25">
        <f>IF(Artefatos!$L$9="","",Artefatos!$L$9*(1+TaxaCompra))</f>
        <v/>
      </c>
      <c r="S259">
        <f>IF(Artefatos!$M$9="","",Artefatos!$M$9)</f>
        <v/>
      </c>
      <c r="T259" s="25">
        <f>G259*Refino!$D$10+Artefatos!$F$9</f>
        <v/>
      </c>
      <c r="U259" s="25">
        <f>T259*0.1125*FeeCraft/100</f>
        <v/>
      </c>
      <c r="V259" s="23">
        <f>IF(OR(Q259="",R259=""),"",Q259+R259+U259)</f>
        <v/>
      </c>
      <c r="W259" s="23">
        <f>IF(O259="","",O259*(1-TaxaVenda))</f>
        <v/>
      </c>
      <c r="X259" s="26">
        <f>IF(OR(V259="",W259=""),"",W259-V259)</f>
        <v/>
      </c>
      <c r="Y259" s="27">
        <f>IF(X259="","",X259/V259)</f>
        <v/>
      </c>
    </row>
    <row r="260">
      <c r="A260" t="inlineStr">
        <is>
          <t>Graveguard|Elmo|T5.1</t>
        </is>
      </c>
      <c r="B260" t="inlineStr">
        <is>
          <t>Graveguard</t>
        </is>
      </c>
      <c r="C260" t="inlineStr">
        <is>
          <t>Elmo</t>
        </is>
      </c>
      <c r="D260" t="inlineStr">
        <is>
          <t>T5.1</t>
        </is>
      </c>
      <c r="E260" t="n">
        <v>5</v>
      </c>
      <c r="F260" t="n">
        <v>1</v>
      </c>
      <c r="G260" t="n">
        <v>8</v>
      </c>
      <c r="H260" s="22" t="n"/>
      <c r="I260" s="22" t="n"/>
      <c r="J260" s="22" t="n"/>
      <c r="K260" s="22" t="n"/>
      <c r="L260" s="22" t="n"/>
      <c r="M260" s="22" t="n"/>
      <c r="N260" s="22" t="n"/>
      <c r="O260" s="23">
        <f>IF(COUNT(H260:N260)=0,"",MAX(H260:N260))</f>
        <v/>
      </c>
      <c r="P260" s="24">
        <f>IF(O260="","",INDEX($H$3:$N$3,MATCH(O260,H260:N260,0)))</f>
        <v/>
      </c>
      <c r="Q260" s="23">
        <f>IF(Refino!$L$11="","",G260*Refino!$L$11*(1-RetCraft))</f>
        <v/>
      </c>
      <c r="R260" s="25">
        <f>IF(Artefatos!$L$9="","",Artefatos!$L$9*(1+TaxaCompra))</f>
        <v/>
      </c>
      <c r="S260">
        <f>IF(Artefatos!$M$9="","",Artefatos!$M$9)</f>
        <v/>
      </c>
      <c r="T260" s="25">
        <f>G260*Refino!$D$11+Artefatos!$F$9</f>
        <v/>
      </c>
      <c r="U260" s="25">
        <f>T260*0.1125*FeeCraft/100</f>
        <v/>
      </c>
      <c r="V260" s="23">
        <f>IF(OR(Q260="",R260=""),"",Q260+R260+U260)</f>
        <v/>
      </c>
      <c r="W260" s="23">
        <f>IF(O260="","",O260*(1-TaxaVenda))</f>
        <v/>
      </c>
      <c r="X260" s="26">
        <f>IF(OR(V260="",W260=""),"",W260-V260)</f>
        <v/>
      </c>
      <c r="Y260" s="27">
        <f>IF(X260="","",X260/V260)</f>
        <v/>
      </c>
    </row>
    <row r="261">
      <c r="A261" t="inlineStr">
        <is>
          <t>Graveguard|Elmo|T5.2</t>
        </is>
      </c>
      <c r="B261" t="inlineStr">
        <is>
          <t>Graveguard</t>
        </is>
      </c>
      <c r="C261" t="inlineStr">
        <is>
          <t>Elmo</t>
        </is>
      </c>
      <c r="D261" t="inlineStr">
        <is>
          <t>T5.2</t>
        </is>
      </c>
      <c r="E261" t="n">
        <v>5</v>
      </c>
      <c r="F261" t="n">
        <v>2</v>
      </c>
      <c r="G261" t="n">
        <v>8</v>
      </c>
      <c r="H261" s="22" t="n"/>
      <c r="I261" s="22" t="n"/>
      <c r="J261" s="22" t="n"/>
      <c r="K261" s="22" t="n"/>
      <c r="L261" s="22" t="n"/>
      <c r="M261" s="22" t="n"/>
      <c r="N261" s="22" t="n"/>
      <c r="O261" s="23">
        <f>IF(COUNT(H261:N261)=0,"",MAX(H261:N261))</f>
        <v/>
      </c>
      <c r="P261" s="24">
        <f>IF(O261="","",INDEX($H$3:$N$3,MATCH(O261,H261:N261,0)))</f>
        <v/>
      </c>
      <c r="Q261" s="23">
        <f>IF(Refino!$L$12="","",G261*Refino!$L$12*(1-RetCraft))</f>
        <v/>
      </c>
      <c r="R261" s="25">
        <f>IF(Artefatos!$L$9="","",Artefatos!$L$9*(1+TaxaCompra))</f>
        <v/>
      </c>
      <c r="S261">
        <f>IF(Artefatos!$M$9="","",Artefatos!$M$9)</f>
        <v/>
      </c>
      <c r="T261" s="25">
        <f>G261*Refino!$D$12+Artefatos!$F$9</f>
        <v/>
      </c>
      <c r="U261" s="25">
        <f>T261*0.1125*FeeCraft/100</f>
        <v/>
      </c>
      <c r="V261" s="23">
        <f>IF(OR(Q261="",R261=""),"",Q261+R261+U261)</f>
        <v/>
      </c>
      <c r="W261" s="23">
        <f>IF(O261="","",O261*(1-TaxaVenda))</f>
        <v/>
      </c>
      <c r="X261" s="26">
        <f>IF(OR(V261="",W261=""),"",W261-V261)</f>
        <v/>
      </c>
      <c r="Y261" s="27">
        <f>IF(X261="","",X261/V261)</f>
        <v/>
      </c>
    </row>
    <row r="262">
      <c r="A262" t="inlineStr">
        <is>
          <t>Graveguard|Elmo|T5.3</t>
        </is>
      </c>
      <c r="B262" t="inlineStr">
        <is>
          <t>Graveguard</t>
        </is>
      </c>
      <c r="C262" t="inlineStr">
        <is>
          <t>Elmo</t>
        </is>
      </c>
      <c r="D262" t="inlineStr">
        <is>
          <t>T5.3</t>
        </is>
      </c>
      <c r="E262" t="n">
        <v>5</v>
      </c>
      <c r="F262" t="n">
        <v>3</v>
      </c>
      <c r="G262" t="n">
        <v>8</v>
      </c>
      <c r="H262" s="22" t="n"/>
      <c r="I262" s="22" t="n"/>
      <c r="J262" s="22" t="n"/>
      <c r="K262" s="22" t="n"/>
      <c r="L262" s="22" t="n"/>
      <c r="M262" s="22" t="n"/>
      <c r="N262" s="22" t="n"/>
      <c r="O262" s="23">
        <f>IF(COUNT(H262:N262)=0,"",MAX(H262:N262))</f>
        <v/>
      </c>
      <c r="P262" s="24">
        <f>IF(O262="","",INDEX($H$3:$N$3,MATCH(O262,H262:N262,0)))</f>
        <v/>
      </c>
      <c r="Q262" s="23">
        <f>IF(Refino!$L$13="","",G262*Refino!$L$13*(1-RetCraft))</f>
        <v/>
      </c>
      <c r="R262" s="25">
        <f>IF(Artefatos!$L$9="","",Artefatos!$L$9*(1+TaxaCompra))</f>
        <v/>
      </c>
      <c r="S262">
        <f>IF(Artefatos!$M$9="","",Artefatos!$M$9)</f>
        <v/>
      </c>
      <c r="T262" s="25">
        <f>G262*Refino!$D$13+Artefatos!$F$9</f>
        <v/>
      </c>
      <c r="U262" s="25">
        <f>T262*0.1125*FeeCraft/100</f>
        <v/>
      </c>
      <c r="V262" s="23">
        <f>IF(OR(Q262="",R262=""),"",Q262+R262+U262)</f>
        <v/>
      </c>
      <c r="W262" s="23">
        <f>IF(O262="","",O262*(1-TaxaVenda))</f>
        <v/>
      </c>
      <c r="X262" s="26">
        <f>IF(OR(V262="",W262=""),"",W262-V262)</f>
        <v/>
      </c>
      <c r="Y262" s="27">
        <f>IF(X262="","",X262/V262)</f>
        <v/>
      </c>
    </row>
    <row r="263">
      <c r="A263" t="inlineStr">
        <is>
          <t>Graveguard|Elmo|T5.4</t>
        </is>
      </c>
      <c r="B263" t="inlineStr">
        <is>
          <t>Graveguard</t>
        </is>
      </c>
      <c r="C263" t="inlineStr">
        <is>
          <t>Elmo</t>
        </is>
      </c>
      <c r="D263" t="inlineStr">
        <is>
          <t>T5.4</t>
        </is>
      </c>
      <c r="E263" t="n">
        <v>5</v>
      </c>
      <c r="F263" t="n">
        <v>4</v>
      </c>
      <c r="G263" t="n">
        <v>8</v>
      </c>
      <c r="H263" s="22" t="n"/>
      <c r="I263" s="22" t="n"/>
      <c r="J263" s="22" t="n"/>
      <c r="K263" s="22" t="n"/>
      <c r="L263" s="22" t="n"/>
      <c r="M263" s="22" t="n"/>
      <c r="N263" s="22" t="n"/>
      <c r="O263" s="23">
        <f>IF(COUNT(H263:N263)=0,"",MAX(H263:N263))</f>
        <v/>
      </c>
      <c r="P263" s="24">
        <f>IF(O263="","",INDEX($H$3:$N$3,MATCH(O263,H263:N263,0)))</f>
        <v/>
      </c>
      <c r="Q263" s="23">
        <f>IF(Refino!$L$14="","",G263*Refino!$L$14*(1-RetCraft))</f>
        <v/>
      </c>
      <c r="R263" s="25">
        <f>IF(Artefatos!$L$9="","",Artefatos!$L$9*(1+TaxaCompra))</f>
        <v/>
      </c>
      <c r="S263">
        <f>IF(Artefatos!$M$9="","",Artefatos!$M$9)</f>
        <v/>
      </c>
      <c r="T263" s="25">
        <f>G263*Refino!$D$14+Artefatos!$F$9</f>
        <v/>
      </c>
      <c r="U263" s="25">
        <f>T263*0.1125*FeeCraft/100</f>
        <v/>
      </c>
      <c r="V263" s="23">
        <f>IF(OR(Q263="",R263=""),"",Q263+R263+U263)</f>
        <v/>
      </c>
      <c r="W263" s="23">
        <f>IF(O263="","",O263*(1-TaxaVenda))</f>
        <v/>
      </c>
      <c r="X263" s="26">
        <f>IF(OR(V263="",W263=""),"",W263-V263)</f>
        <v/>
      </c>
      <c r="Y263" s="27">
        <f>IF(X263="","",X263/V263)</f>
        <v/>
      </c>
    </row>
    <row r="264">
      <c r="A264" t="inlineStr">
        <is>
          <t>Graveguard|Elmo|T6.0</t>
        </is>
      </c>
      <c r="B264" t="inlineStr">
        <is>
          <t>Graveguard</t>
        </is>
      </c>
      <c r="C264" t="inlineStr">
        <is>
          <t>Elmo</t>
        </is>
      </c>
      <c r="D264" t="inlineStr">
        <is>
          <t>T6.0</t>
        </is>
      </c>
      <c r="E264" t="n">
        <v>6</v>
      </c>
      <c r="F264" t="n">
        <v>0</v>
      </c>
      <c r="G264" t="n">
        <v>8</v>
      </c>
      <c r="H264" s="22" t="n"/>
      <c r="I264" s="22" t="n"/>
      <c r="J264" s="22" t="n"/>
      <c r="K264" s="22" t="n"/>
      <c r="L264" s="22" t="n"/>
      <c r="M264" s="22" t="n"/>
      <c r="N264" s="22" t="n"/>
      <c r="O264" s="23">
        <f>IF(COUNT(H264:N264)=0,"",MAX(H264:N264))</f>
        <v/>
      </c>
      <c r="P264" s="24">
        <f>IF(O264="","",INDEX($H$3:$N$3,MATCH(O264,H264:N264,0)))</f>
        <v/>
      </c>
      <c r="Q264" s="23">
        <f>IF(Refino!$L$15="","",G264*Refino!$L$15*(1-RetCraft))</f>
        <v/>
      </c>
      <c r="R264" s="25">
        <f>IF(Artefatos!$L$10="","",Artefatos!$L$10*(1+TaxaCompra))</f>
        <v/>
      </c>
      <c r="S264">
        <f>IF(Artefatos!$M$10="","",Artefatos!$M$10)</f>
        <v/>
      </c>
      <c r="T264" s="25">
        <f>G264*Refino!$D$15+Artefatos!$F$10</f>
        <v/>
      </c>
      <c r="U264" s="25">
        <f>T264*0.1125*FeeCraft/100</f>
        <v/>
      </c>
      <c r="V264" s="23">
        <f>IF(OR(Q264="",R264=""),"",Q264+R264+U264)</f>
        <v/>
      </c>
      <c r="W264" s="23">
        <f>IF(O264="","",O264*(1-TaxaVenda))</f>
        <v/>
      </c>
      <c r="X264" s="26">
        <f>IF(OR(V264="",W264=""),"",W264-V264)</f>
        <v/>
      </c>
      <c r="Y264" s="27">
        <f>IF(X264="","",X264/V264)</f>
        <v/>
      </c>
    </row>
    <row r="265">
      <c r="A265" t="inlineStr">
        <is>
          <t>Graveguard|Elmo|T6.1</t>
        </is>
      </c>
      <c r="B265" t="inlineStr">
        <is>
          <t>Graveguard</t>
        </is>
      </c>
      <c r="C265" t="inlineStr">
        <is>
          <t>Elmo</t>
        </is>
      </c>
      <c r="D265" t="inlineStr">
        <is>
          <t>T6.1</t>
        </is>
      </c>
      <c r="E265" t="n">
        <v>6</v>
      </c>
      <c r="F265" t="n">
        <v>1</v>
      </c>
      <c r="G265" t="n">
        <v>8</v>
      </c>
      <c r="H265" s="22" t="n"/>
      <c r="I265" s="22" t="n"/>
      <c r="J265" s="22" t="n"/>
      <c r="K265" s="22" t="n"/>
      <c r="L265" s="22" t="n"/>
      <c r="M265" s="22" t="n"/>
      <c r="N265" s="22" t="n"/>
      <c r="O265" s="23">
        <f>IF(COUNT(H265:N265)=0,"",MAX(H265:N265))</f>
        <v/>
      </c>
      <c r="P265" s="24">
        <f>IF(O265="","",INDEX($H$3:$N$3,MATCH(O265,H265:N265,0)))</f>
        <v/>
      </c>
      <c r="Q265" s="23">
        <f>IF(Refino!$L$16="","",G265*Refino!$L$16*(1-RetCraft))</f>
        <v/>
      </c>
      <c r="R265" s="25">
        <f>IF(Artefatos!$L$10="","",Artefatos!$L$10*(1+TaxaCompra))</f>
        <v/>
      </c>
      <c r="S265">
        <f>IF(Artefatos!$M$10="","",Artefatos!$M$10)</f>
        <v/>
      </c>
      <c r="T265" s="25">
        <f>G265*Refino!$D$16+Artefatos!$F$10</f>
        <v/>
      </c>
      <c r="U265" s="25">
        <f>T265*0.1125*FeeCraft/100</f>
        <v/>
      </c>
      <c r="V265" s="23">
        <f>IF(OR(Q265="",R265=""),"",Q265+R265+U265)</f>
        <v/>
      </c>
      <c r="W265" s="23">
        <f>IF(O265="","",O265*(1-TaxaVenda))</f>
        <v/>
      </c>
      <c r="X265" s="26">
        <f>IF(OR(V265="",W265=""),"",W265-V265)</f>
        <v/>
      </c>
      <c r="Y265" s="27">
        <f>IF(X265="","",X265/V265)</f>
        <v/>
      </c>
    </row>
    <row r="266">
      <c r="A266" t="inlineStr">
        <is>
          <t>Graveguard|Elmo|T6.2</t>
        </is>
      </c>
      <c r="B266" t="inlineStr">
        <is>
          <t>Graveguard</t>
        </is>
      </c>
      <c r="C266" t="inlineStr">
        <is>
          <t>Elmo</t>
        </is>
      </c>
      <c r="D266" t="inlineStr">
        <is>
          <t>T6.2</t>
        </is>
      </c>
      <c r="E266" t="n">
        <v>6</v>
      </c>
      <c r="F266" t="n">
        <v>2</v>
      </c>
      <c r="G266" t="n">
        <v>8</v>
      </c>
      <c r="H266" s="22" t="n"/>
      <c r="I266" s="22" t="n"/>
      <c r="J266" s="22" t="n"/>
      <c r="K266" s="22" t="n"/>
      <c r="L266" s="22" t="n"/>
      <c r="M266" s="22" t="n"/>
      <c r="N266" s="22" t="n"/>
      <c r="O266" s="23">
        <f>IF(COUNT(H266:N266)=0,"",MAX(H266:N266))</f>
        <v/>
      </c>
      <c r="P266" s="24">
        <f>IF(O266="","",INDEX($H$3:$N$3,MATCH(O266,H266:N266,0)))</f>
        <v/>
      </c>
      <c r="Q266" s="23">
        <f>IF(Refino!$L$17="","",G266*Refino!$L$17*(1-RetCraft))</f>
        <v/>
      </c>
      <c r="R266" s="25">
        <f>IF(Artefatos!$L$10="","",Artefatos!$L$10*(1+TaxaCompra))</f>
        <v/>
      </c>
      <c r="S266">
        <f>IF(Artefatos!$M$10="","",Artefatos!$M$10)</f>
        <v/>
      </c>
      <c r="T266" s="25">
        <f>G266*Refino!$D$17+Artefatos!$F$10</f>
        <v/>
      </c>
      <c r="U266" s="25">
        <f>T266*0.1125*FeeCraft/100</f>
        <v/>
      </c>
      <c r="V266" s="23">
        <f>IF(OR(Q266="",R266=""),"",Q266+R266+U266)</f>
        <v/>
      </c>
      <c r="W266" s="23">
        <f>IF(O266="","",O266*(1-TaxaVenda))</f>
        <v/>
      </c>
      <c r="X266" s="26">
        <f>IF(OR(V266="",W266=""),"",W266-V266)</f>
        <v/>
      </c>
      <c r="Y266" s="27">
        <f>IF(X266="","",X266/V266)</f>
        <v/>
      </c>
    </row>
    <row r="267">
      <c r="A267" t="inlineStr">
        <is>
          <t>Graveguard|Elmo|T6.3</t>
        </is>
      </c>
      <c r="B267" t="inlineStr">
        <is>
          <t>Graveguard</t>
        </is>
      </c>
      <c r="C267" t="inlineStr">
        <is>
          <t>Elmo</t>
        </is>
      </c>
      <c r="D267" t="inlineStr">
        <is>
          <t>T6.3</t>
        </is>
      </c>
      <c r="E267" t="n">
        <v>6</v>
      </c>
      <c r="F267" t="n">
        <v>3</v>
      </c>
      <c r="G267" t="n">
        <v>8</v>
      </c>
      <c r="H267" s="22" t="n"/>
      <c r="I267" s="22" t="n"/>
      <c r="J267" s="22" t="n"/>
      <c r="K267" s="22" t="n"/>
      <c r="L267" s="22" t="n"/>
      <c r="M267" s="22" t="n"/>
      <c r="N267" s="22" t="n"/>
      <c r="O267" s="23">
        <f>IF(COUNT(H267:N267)=0,"",MAX(H267:N267))</f>
        <v/>
      </c>
      <c r="P267" s="24">
        <f>IF(O267="","",INDEX($H$3:$N$3,MATCH(O267,H267:N267,0)))</f>
        <v/>
      </c>
      <c r="Q267" s="23">
        <f>IF(Refino!$L$18="","",G267*Refino!$L$18*(1-RetCraft))</f>
        <v/>
      </c>
      <c r="R267" s="25">
        <f>IF(Artefatos!$L$10="","",Artefatos!$L$10*(1+TaxaCompra))</f>
        <v/>
      </c>
      <c r="S267">
        <f>IF(Artefatos!$M$10="","",Artefatos!$M$10)</f>
        <v/>
      </c>
      <c r="T267" s="25">
        <f>G267*Refino!$D$18+Artefatos!$F$10</f>
        <v/>
      </c>
      <c r="U267" s="25">
        <f>T267*0.1125*FeeCraft/100</f>
        <v/>
      </c>
      <c r="V267" s="23">
        <f>IF(OR(Q267="",R267=""),"",Q267+R267+U267)</f>
        <v/>
      </c>
      <c r="W267" s="23">
        <f>IF(O267="","",O267*(1-TaxaVenda))</f>
        <v/>
      </c>
      <c r="X267" s="26">
        <f>IF(OR(V267="",W267=""),"",W267-V267)</f>
        <v/>
      </c>
      <c r="Y267" s="27">
        <f>IF(X267="","",X267/V267)</f>
        <v/>
      </c>
    </row>
    <row r="268">
      <c r="A268" t="inlineStr">
        <is>
          <t>Graveguard|Elmo|T6.4</t>
        </is>
      </c>
      <c r="B268" t="inlineStr">
        <is>
          <t>Graveguard</t>
        </is>
      </c>
      <c r="C268" t="inlineStr">
        <is>
          <t>Elmo</t>
        </is>
      </c>
      <c r="D268" t="inlineStr">
        <is>
          <t>T6.4</t>
        </is>
      </c>
      <c r="E268" t="n">
        <v>6</v>
      </c>
      <c r="F268" t="n">
        <v>4</v>
      </c>
      <c r="G268" t="n">
        <v>8</v>
      </c>
      <c r="H268" s="22" t="n"/>
      <c r="I268" s="22" t="n"/>
      <c r="J268" s="22" t="n"/>
      <c r="K268" s="22" t="n"/>
      <c r="L268" s="22" t="n"/>
      <c r="M268" s="22" t="n"/>
      <c r="N268" s="22" t="n"/>
      <c r="O268" s="23">
        <f>IF(COUNT(H268:N268)=0,"",MAX(H268:N268))</f>
        <v/>
      </c>
      <c r="P268" s="24">
        <f>IF(O268="","",INDEX($H$3:$N$3,MATCH(O268,H268:N268,0)))</f>
        <v/>
      </c>
      <c r="Q268" s="23">
        <f>IF(Refino!$L$19="","",G268*Refino!$L$19*(1-RetCraft))</f>
        <v/>
      </c>
      <c r="R268" s="25">
        <f>IF(Artefatos!$L$10="","",Artefatos!$L$10*(1+TaxaCompra))</f>
        <v/>
      </c>
      <c r="S268">
        <f>IF(Artefatos!$M$10="","",Artefatos!$M$10)</f>
        <v/>
      </c>
      <c r="T268" s="25">
        <f>G268*Refino!$D$19+Artefatos!$F$10</f>
        <v/>
      </c>
      <c r="U268" s="25">
        <f>T268*0.1125*FeeCraft/100</f>
        <v/>
      </c>
      <c r="V268" s="23">
        <f>IF(OR(Q268="",R268=""),"",Q268+R268+U268)</f>
        <v/>
      </c>
      <c r="W268" s="23">
        <f>IF(O268="","",O268*(1-TaxaVenda))</f>
        <v/>
      </c>
      <c r="X268" s="26">
        <f>IF(OR(V268="",W268=""),"",W268-V268)</f>
        <v/>
      </c>
      <c r="Y268" s="27">
        <f>IF(X268="","",X268/V268)</f>
        <v/>
      </c>
    </row>
    <row r="269">
      <c r="A269" t="inlineStr">
        <is>
          <t>Graveguard|Elmo|T7.0</t>
        </is>
      </c>
      <c r="B269" t="inlineStr">
        <is>
          <t>Graveguard</t>
        </is>
      </c>
      <c r="C269" t="inlineStr">
        <is>
          <t>Elmo</t>
        </is>
      </c>
      <c r="D269" t="inlineStr">
        <is>
          <t>T7.0</t>
        </is>
      </c>
      <c r="E269" t="n">
        <v>7</v>
      </c>
      <c r="F269" t="n">
        <v>0</v>
      </c>
      <c r="G269" t="n">
        <v>8</v>
      </c>
      <c r="H269" s="22" t="n"/>
      <c r="I269" s="22" t="n"/>
      <c r="J269" s="22" t="n"/>
      <c r="K269" s="22" t="n"/>
      <c r="L269" s="22" t="n"/>
      <c r="M269" s="22" t="n"/>
      <c r="N269" s="22" t="n"/>
      <c r="O269" s="23">
        <f>IF(COUNT(H269:N269)=0,"",MAX(H269:N269))</f>
        <v/>
      </c>
      <c r="P269" s="24">
        <f>IF(O269="","",INDEX($H$3:$N$3,MATCH(O269,H269:N269,0)))</f>
        <v/>
      </c>
      <c r="Q269" s="23">
        <f>IF(Refino!$L$20="","",G269*Refino!$L$20*(1-RetCraft))</f>
        <v/>
      </c>
      <c r="R269" s="25">
        <f>IF(Artefatos!$L$11="","",Artefatos!$L$11*(1+TaxaCompra))</f>
        <v/>
      </c>
      <c r="S269">
        <f>IF(Artefatos!$M$11="","",Artefatos!$M$11)</f>
        <v/>
      </c>
      <c r="T269" s="25">
        <f>G269*Refino!$D$20+Artefatos!$F$11</f>
        <v/>
      </c>
      <c r="U269" s="25">
        <f>T269*0.1125*FeeCraft/100</f>
        <v/>
      </c>
      <c r="V269" s="23">
        <f>IF(OR(Q269="",R269=""),"",Q269+R269+U269)</f>
        <v/>
      </c>
      <c r="W269" s="23">
        <f>IF(O269="","",O269*(1-TaxaVenda))</f>
        <v/>
      </c>
      <c r="X269" s="26">
        <f>IF(OR(V269="",W269=""),"",W269-V269)</f>
        <v/>
      </c>
      <c r="Y269" s="27">
        <f>IF(X269="","",X269/V269)</f>
        <v/>
      </c>
    </row>
    <row r="270">
      <c r="A270" t="inlineStr">
        <is>
          <t>Graveguard|Elmo|T7.1</t>
        </is>
      </c>
      <c r="B270" t="inlineStr">
        <is>
          <t>Graveguard</t>
        </is>
      </c>
      <c r="C270" t="inlineStr">
        <is>
          <t>Elmo</t>
        </is>
      </c>
      <c r="D270" t="inlineStr">
        <is>
          <t>T7.1</t>
        </is>
      </c>
      <c r="E270" t="n">
        <v>7</v>
      </c>
      <c r="F270" t="n">
        <v>1</v>
      </c>
      <c r="G270" t="n">
        <v>8</v>
      </c>
      <c r="H270" s="22" t="n"/>
      <c r="I270" s="22" t="n"/>
      <c r="J270" s="22" t="n"/>
      <c r="K270" s="22" t="n"/>
      <c r="L270" s="22" t="n"/>
      <c r="M270" s="22" t="n"/>
      <c r="N270" s="22" t="n"/>
      <c r="O270" s="23">
        <f>IF(COUNT(H270:N270)=0,"",MAX(H270:N270))</f>
        <v/>
      </c>
      <c r="P270" s="24">
        <f>IF(O270="","",INDEX($H$3:$N$3,MATCH(O270,H270:N270,0)))</f>
        <v/>
      </c>
      <c r="Q270" s="23">
        <f>IF(Refino!$L$21="","",G270*Refino!$L$21*(1-RetCraft))</f>
        <v/>
      </c>
      <c r="R270" s="25">
        <f>IF(Artefatos!$L$11="","",Artefatos!$L$11*(1+TaxaCompra))</f>
        <v/>
      </c>
      <c r="S270">
        <f>IF(Artefatos!$M$11="","",Artefatos!$M$11)</f>
        <v/>
      </c>
      <c r="T270" s="25">
        <f>G270*Refino!$D$21+Artefatos!$F$11</f>
        <v/>
      </c>
      <c r="U270" s="25">
        <f>T270*0.1125*FeeCraft/100</f>
        <v/>
      </c>
      <c r="V270" s="23">
        <f>IF(OR(Q270="",R270=""),"",Q270+R270+U270)</f>
        <v/>
      </c>
      <c r="W270" s="23">
        <f>IF(O270="","",O270*(1-TaxaVenda))</f>
        <v/>
      </c>
      <c r="X270" s="26">
        <f>IF(OR(V270="",W270=""),"",W270-V270)</f>
        <v/>
      </c>
      <c r="Y270" s="27">
        <f>IF(X270="","",X270/V270)</f>
        <v/>
      </c>
    </row>
    <row r="271">
      <c r="A271" t="inlineStr">
        <is>
          <t>Graveguard|Elmo|T7.2</t>
        </is>
      </c>
      <c r="B271" t="inlineStr">
        <is>
          <t>Graveguard</t>
        </is>
      </c>
      <c r="C271" t="inlineStr">
        <is>
          <t>Elmo</t>
        </is>
      </c>
      <c r="D271" t="inlineStr">
        <is>
          <t>T7.2</t>
        </is>
      </c>
      <c r="E271" t="n">
        <v>7</v>
      </c>
      <c r="F271" t="n">
        <v>2</v>
      </c>
      <c r="G271" t="n">
        <v>8</v>
      </c>
      <c r="H271" s="22" t="n"/>
      <c r="I271" s="22" t="n"/>
      <c r="J271" s="22" t="n"/>
      <c r="K271" s="22" t="n"/>
      <c r="L271" s="22" t="n"/>
      <c r="M271" s="22" t="n"/>
      <c r="N271" s="22" t="n"/>
      <c r="O271" s="23">
        <f>IF(COUNT(H271:N271)=0,"",MAX(H271:N271))</f>
        <v/>
      </c>
      <c r="P271" s="24">
        <f>IF(O271="","",INDEX($H$3:$N$3,MATCH(O271,H271:N271,0)))</f>
        <v/>
      </c>
      <c r="Q271" s="23">
        <f>IF(Refino!$L$22="","",G271*Refino!$L$22*(1-RetCraft))</f>
        <v/>
      </c>
      <c r="R271" s="25">
        <f>IF(Artefatos!$L$11="","",Artefatos!$L$11*(1+TaxaCompra))</f>
        <v/>
      </c>
      <c r="S271">
        <f>IF(Artefatos!$M$11="","",Artefatos!$M$11)</f>
        <v/>
      </c>
      <c r="T271" s="25">
        <f>G271*Refino!$D$22+Artefatos!$F$11</f>
        <v/>
      </c>
      <c r="U271" s="25">
        <f>T271*0.1125*FeeCraft/100</f>
        <v/>
      </c>
      <c r="V271" s="23">
        <f>IF(OR(Q271="",R271=""),"",Q271+R271+U271)</f>
        <v/>
      </c>
      <c r="W271" s="23">
        <f>IF(O271="","",O271*(1-TaxaVenda))</f>
        <v/>
      </c>
      <c r="X271" s="26">
        <f>IF(OR(V271="",W271=""),"",W271-V271)</f>
        <v/>
      </c>
      <c r="Y271" s="27">
        <f>IF(X271="","",X271/V271)</f>
        <v/>
      </c>
    </row>
    <row r="272">
      <c r="A272" t="inlineStr">
        <is>
          <t>Graveguard|Elmo|T7.3</t>
        </is>
      </c>
      <c r="B272" t="inlineStr">
        <is>
          <t>Graveguard</t>
        </is>
      </c>
      <c r="C272" t="inlineStr">
        <is>
          <t>Elmo</t>
        </is>
      </c>
      <c r="D272" t="inlineStr">
        <is>
          <t>T7.3</t>
        </is>
      </c>
      <c r="E272" t="n">
        <v>7</v>
      </c>
      <c r="F272" t="n">
        <v>3</v>
      </c>
      <c r="G272" t="n">
        <v>8</v>
      </c>
      <c r="H272" s="22" t="n"/>
      <c r="I272" s="22" t="n"/>
      <c r="J272" s="22" t="n"/>
      <c r="K272" s="22" t="n"/>
      <c r="L272" s="22" t="n"/>
      <c r="M272" s="22" t="n"/>
      <c r="N272" s="22" t="n"/>
      <c r="O272" s="23">
        <f>IF(COUNT(H272:N272)=0,"",MAX(H272:N272))</f>
        <v/>
      </c>
      <c r="P272" s="24">
        <f>IF(O272="","",INDEX($H$3:$N$3,MATCH(O272,H272:N272,0)))</f>
        <v/>
      </c>
      <c r="Q272" s="23">
        <f>IF(Refino!$L$23="","",G272*Refino!$L$23*(1-RetCraft))</f>
        <v/>
      </c>
      <c r="R272" s="25">
        <f>IF(Artefatos!$L$11="","",Artefatos!$L$11*(1+TaxaCompra))</f>
        <v/>
      </c>
      <c r="S272">
        <f>IF(Artefatos!$M$11="","",Artefatos!$M$11)</f>
        <v/>
      </c>
      <c r="T272" s="25">
        <f>G272*Refino!$D$23+Artefatos!$F$11</f>
        <v/>
      </c>
      <c r="U272" s="25">
        <f>T272*0.1125*FeeCraft/100</f>
        <v/>
      </c>
      <c r="V272" s="23">
        <f>IF(OR(Q272="",R272=""),"",Q272+R272+U272)</f>
        <v/>
      </c>
      <c r="W272" s="23">
        <f>IF(O272="","",O272*(1-TaxaVenda))</f>
        <v/>
      </c>
      <c r="X272" s="26">
        <f>IF(OR(V272="",W272=""),"",W272-V272)</f>
        <v/>
      </c>
      <c r="Y272" s="27">
        <f>IF(X272="","",X272/V272)</f>
        <v/>
      </c>
    </row>
    <row r="273">
      <c r="A273" t="inlineStr">
        <is>
          <t>Graveguard|Elmo|T7.4</t>
        </is>
      </c>
      <c r="B273" t="inlineStr">
        <is>
          <t>Graveguard</t>
        </is>
      </c>
      <c r="C273" t="inlineStr">
        <is>
          <t>Elmo</t>
        </is>
      </c>
      <c r="D273" t="inlineStr">
        <is>
          <t>T7.4</t>
        </is>
      </c>
      <c r="E273" t="n">
        <v>7</v>
      </c>
      <c r="F273" t="n">
        <v>4</v>
      </c>
      <c r="G273" t="n">
        <v>8</v>
      </c>
      <c r="H273" s="22" t="n"/>
      <c r="I273" s="22" t="n"/>
      <c r="J273" s="22" t="n"/>
      <c r="K273" s="22" t="n"/>
      <c r="L273" s="22" t="n"/>
      <c r="M273" s="22" t="n"/>
      <c r="N273" s="22" t="n"/>
      <c r="O273" s="23">
        <f>IF(COUNT(H273:N273)=0,"",MAX(H273:N273))</f>
        <v/>
      </c>
      <c r="P273" s="24">
        <f>IF(O273="","",INDEX($H$3:$N$3,MATCH(O273,H273:N273,0)))</f>
        <v/>
      </c>
      <c r="Q273" s="23">
        <f>IF(Refino!$L$24="","",G273*Refino!$L$24*(1-RetCraft))</f>
        <v/>
      </c>
      <c r="R273" s="25">
        <f>IF(Artefatos!$L$11="","",Artefatos!$L$11*(1+TaxaCompra))</f>
        <v/>
      </c>
      <c r="S273">
        <f>IF(Artefatos!$M$11="","",Artefatos!$M$11)</f>
        <v/>
      </c>
      <c r="T273" s="25">
        <f>G273*Refino!$D$24+Artefatos!$F$11</f>
        <v/>
      </c>
      <c r="U273" s="25">
        <f>T273*0.1125*FeeCraft/100</f>
        <v/>
      </c>
      <c r="V273" s="23">
        <f>IF(OR(Q273="",R273=""),"",Q273+R273+U273)</f>
        <v/>
      </c>
      <c r="W273" s="23">
        <f>IF(O273="","",O273*(1-TaxaVenda))</f>
        <v/>
      </c>
      <c r="X273" s="26">
        <f>IF(OR(V273="",W273=""),"",W273-V273)</f>
        <v/>
      </c>
      <c r="Y273" s="27">
        <f>IF(X273="","",X273/V273)</f>
        <v/>
      </c>
    </row>
    <row r="274">
      <c r="A274" t="inlineStr">
        <is>
          <t>Graveguard|Elmo|T8.0</t>
        </is>
      </c>
      <c r="B274" t="inlineStr">
        <is>
          <t>Graveguard</t>
        </is>
      </c>
      <c r="C274" t="inlineStr">
        <is>
          <t>Elmo</t>
        </is>
      </c>
      <c r="D274" t="inlineStr">
        <is>
          <t>T8.0</t>
        </is>
      </c>
      <c r="E274" t="n">
        <v>8</v>
      </c>
      <c r="F274" t="n">
        <v>0</v>
      </c>
      <c r="G274" t="n">
        <v>8</v>
      </c>
      <c r="H274" s="22" t="n"/>
      <c r="I274" s="22" t="n"/>
      <c r="J274" s="22" t="n"/>
      <c r="K274" s="22" t="n"/>
      <c r="L274" s="22" t="n"/>
      <c r="M274" s="22" t="n"/>
      <c r="N274" s="22" t="n"/>
      <c r="O274" s="23">
        <f>IF(COUNT(H274:N274)=0,"",MAX(H274:N274))</f>
        <v/>
      </c>
      <c r="P274" s="24">
        <f>IF(O274="","",INDEX($H$3:$N$3,MATCH(O274,H274:N274,0)))</f>
        <v/>
      </c>
      <c r="Q274" s="23">
        <f>IF(Refino!$L$25="","",G274*Refino!$L$25*(1-RetCraft))</f>
        <v/>
      </c>
      <c r="R274" s="25">
        <f>IF(Artefatos!$L$12="","",Artefatos!$L$12*(1+TaxaCompra))</f>
        <v/>
      </c>
      <c r="S274">
        <f>IF(Artefatos!$M$12="","",Artefatos!$M$12)</f>
        <v/>
      </c>
      <c r="T274" s="25">
        <f>G274*Refino!$D$25+Artefatos!$F$12</f>
        <v/>
      </c>
      <c r="U274" s="25">
        <f>T274*0.1125*FeeCraft/100</f>
        <v/>
      </c>
      <c r="V274" s="23">
        <f>IF(OR(Q274="",R274=""),"",Q274+R274+U274)</f>
        <v/>
      </c>
      <c r="W274" s="23">
        <f>IF(O274="","",O274*(1-TaxaVenda))</f>
        <v/>
      </c>
      <c r="X274" s="26">
        <f>IF(OR(V274="",W274=""),"",W274-V274)</f>
        <v/>
      </c>
      <c r="Y274" s="27">
        <f>IF(X274="","",X274/V274)</f>
        <v/>
      </c>
    </row>
    <row r="275">
      <c r="A275" t="inlineStr">
        <is>
          <t>Graveguard|Elmo|T8.1</t>
        </is>
      </c>
      <c r="B275" t="inlineStr">
        <is>
          <t>Graveguard</t>
        </is>
      </c>
      <c r="C275" t="inlineStr">
        <is>
          <t>Elmo</t>
        </is>
      </c>
      <c r="D275" t="inlineStr">
        <is>
          <t>T8.1</t>
        </is>
      </c>
      <c r="E275" t="n">
        <v>8</v>
      </c>
      <c r="F275" t="n">
        <v>1</v>
      </c>
      <c r="G275" t="n">
        <v>8</v>
      </c>
      <c r="H275" s="22" t="n"/>
      <c r="I275" s="22" t="n"/>
      <c r="J275" s="22" t="n"/>
      <c r="K275" s="22" t="n"/>
      <c r="L275" s="22" t="n"/>
      <c r="M275" s="22" t="n"/>
      <c r="N275" s="22" t="n"/>
      <c r="O275" s="23">
        <f>IF(COUNT(H275:N275)=0,"",MAX(H275:N275))</f>
        <v/>
      </c>
      <c r="P275" s="24">
        <f>IF(O275="","",INDEX($H$3:$N$3,MATCH(O275,H275:N275,0)))</f>
        <v/>
      </c>
      <c r="Q275" s="23">
        <f>IF(Refino!$L$26="","",G275*Refino!$L$26*(1-RetCraft))</f>
        <v/>
      </c>
      <c r="R275" s="25">
        <f>IF(Artefatos!$L$12="","",Artefatos!$L$12*(1+TaxaCompra))</f>
        <v/>
      </c>
      <c r="S275">
        <f>IF(Artefatos!$M$12="","",Artefatos!$M$12)</f>
        <v/>
      </c>
      <c r="T275" s="25">
        <f>G275*Refino!$D$26+Artefatos!$F$12</f>
        <v/>
      </c>
      <c r="U275" s="25">
        <f>T275*0.1125*FeeCraft/100</f>
        <v/>
      </c>
      <c r="V275" s="23">
        <f>IF(OR(Q275="",R275=""),"",Q275+R275+U275)</f>
        <v/>
      </c>
      <c r="W275" s="23">
        <f>IF(O275="","",O275*(1-TaxaVenda))</f>
        <v/>
      </c>
      <c r="X275" s="26">
        <f>IF(OR(V275="",W275=""),"",W275-V275)</f>
        <v/>
      </c>
      <c r="Y275" s="27">
        <f>IF(X275="","",X275/V275)</f>
        <v/>
      </c>
    </row>
    <row r="276">
      <c r="A276" t="inlineStr">
        <is>
          <t>Graveguard|Elmo|T8.2</t>
        </is>
      </c>
      <c r="B276" t="inlineStr">
        <is>
          <t>Graveguard</t>
        </is>
      </c>
      <c r="C276" t="inlineStr">
        <is>
          <t>Elmo</t>
        </is>
      </c>
      <c r="D276" t="inlineStr">
        <is>
          <t>T8.2</t>
        </is>
      </c>
      <c r="E276" t="n">
        <v>8</v>
      </c>
      <c r="F276" t="n">
        <v>2</v>
      </c>
      <c r="G276" t="n">
        <v>8</v>
      </c>
      <c r="H276" s="22" t="n"/>
      <c r="I276" s="22" t="n"/>
      <c r="J276" s="22" t="n"/>
      <c r="K276" s="22" t="n"/>
      <c r="L276" s="22" t="n"/>
      <c r="M276" s="22" t="n"/>
      <c r="N276" s="22" t="n"/>
      <c r="O276" s="23">
        <f>IF(COUNT(H276:N276)=0,"",MAX(H276:N276))</f>
        <v/>
      </c>
      <c r="P276" s="24">
        <f>IF(O276="","",INDEX($H$3:$N$3,MATCH(O276,H276:N276,0)))</f>
        <v/>
      </c>
      <c r="Q276" s="23">
        <f>IF(Refino!$L$27="","",G276*Refino!$L$27*(1-RetCraft))</f>
        <v/>
      </c>
      <c r="R276" s="25">
        <f>IF(Artefatos!$L$12="","",Artefatos!$L$12*(1+TaxaCompra))</f>
        <v/>
      </c>
      <c r="S276">
        <f>IF(Artefatos!$M$12="","",Artefatos!$M$12)</f>
        <v/>
      </c>
      <c r="T276" s="25">
        <f>G276*Refino!$D$27+Artefatos!$F$12</f>
        <v/>
      </c>
      <c r="U276" s="25">
        <f>T276*0.1125*FeeCraft/100</f>
        <v/>
      </c>
      <c r="V276" s="23">
        <f>IF(OR(Q276="",R276=""),"",Q276+R276+U276)</f>
        <v/>
      </c>
      <c r="W276" s="23">
        <f>IF(O276="","",O276*(1-TaxaVenda))</f>
        <v/>
      </c>
      <c r="X276" s="26">
        <f>IF(OR(V276="",W276=""),"",W276-V276)</f>
        <v/>
      </c>
      <c r="Y276" s="27">
        <f>IF(X276="","",X276/V276)</f>
        <v/>
      </c>
    </row>
    <row r="277">
      <c r="A277" t="inlineStr">
        <is>
          <t>Graveguard|Elmo|T8.3</t>
        </is>
      </c>
      <c r="B277" t="inlineStr">
        <is>
          <t>Graveguard</t>
        </is>
      </c>
      <c r="C277" t="inlineStr">
        <is>
          <t>Elmo</t>
        </is>
      </c>
      <c r="D277" t="inlineStr">
        <is>
          <t>T8.3</t>
        </is>
      </c>
      <c r="E277" t="n">
        <v>8</v>
      </c>
      <c r="F277" t="n">
        <v>3</v>
      </c>
      <c r="G277" t="n">
        <v>8</v>
      </c>
      <c r="H277" s="22" t="n"/>
      <c r="I277" s="22" t="n"/>
      <c r="J277" s="22" t="n"/>
      <c r="K277" s="22" t="n"/>
      <c r="L277" s="22" t="n"/>
      <c r="M277" s="22" t="n"/>
      <c r="N277" s="22" t="n"/>
      <c r="O277" s="23">
        <f>IF(COUNT(H277:N277)=0,"",MAX(H277:N277))</f>
        <v/>
      </c>
      <c r="P277" s="24">
        <f>IF(O277="","",INDEX($H$3:$N$3,MATCH(O277,H277:N277,0)))</f>
        <v/>
      </c>
      <c r="Q277" s="23">
        <f>IF(Refino!$L$28="","",G277*Refino!$L$28*(1-RetCraft))</f>
        <v/>
      </c>
      <c r="R277" s="25">
        <f>IF(Artefatos!$L$12="","",Artefatos!$L$12*(1+TaxaCompra))</f>
        <v/>
      </c>
      <c r="S277">
        <f>IF(Artefatos!$M$12="","",Artefatos!$M$12)</f>
        <v/>
      </c>
      <c r="T277" s="25">
        <f>G277*Refino!$D$28+Artefatos!$F$12</f>
        <v/>
      </c>
      <c r="U277" s="25">
        <f>T277*0.1125*FeeCraft/100</f>
        <v/>
      </c>
      <c r="V277" s="23">
        <f>IF(OR(Q277="",R277=""),"",Q277+R277+U277)</f>
        <v/>
      </c>
      <c r="W277" s="23">
        <f>IF(O277="","",O277*(1-TaxaVenda))</f>
        <v/>
      </c>
      <c r="X277" s="26">
        <f>IF(OR(V277="",W277=""),"",W277-V277)</f>
        <v/>
      </c>
      <c r="Y277" s="27">
        <f>IF(X277="","",X277/V277)</f>
        <v/>
      </c>
    </row>
    <row r="278">
      <c r="A278" t="inlineStr">
        <is>
          <t>Graveguard|Elmo|T8.4</t>
        </is>
      </c>
      <c r="B278" t="inlineStr">
        <is>
          <t>Graveguard</t>
        </is>
      </c>
      <c r="C278" t="inlineStr">
        <is>
          <t>Elmo</t>
        </is>
      </c>
      <c r="D278" t="inlineStr">
        <is>
          <t>T8.4</t>
        </is>
      </c>
      <c r="E278" t="n">
        <v>8</v>
      </c>
      <c r="F278" t="n">
        <v>4</v>
      </c>
      <c r="G278" t="n">
        <v>8</v>
      </c>
      <c r="H278" s="22" t="n"/>
      <c r="I278" s="22" t="n"/>
      <c r="J278" s="22" t="n"/>
      <c r="K278" s="22" t="n"/>
      <c r="L278" s="22" t="n"/>
      <c r="M278" s="22" t="n"/>
      <c r="N278" s="22" t="n"/>
      <c r="O278" s="23">
        <f>IF(COUNT(H278:N278)=0,"",MAX(H278:N278))</f>
        <v/>
      </c>
      <c r="P278" s="24">
        <f>IF(O278="","",INDEX($H$3:$N$3,MATCH(O278,H278:N278,0)))</f>
        <v/>
      </c>
      <c r="Q278" s="23">
        <f>IF(Refino!$L$29="","",G278*Refino!$L$29*(1-RetCraft))</f>
        <v/>
      </c>
      <c r="R278" s="25">
        <f>IF(Artefatos!$L$12="","",Artefatos!$L$12*(1+TaxaCompra))</f>
        <v/>
      </c>
      <c r="S278">
        <f>IF(Artefatos!$M$12="","",Artefatos!$M$12)</f>
        <v/>
      </c>
      <c r="T278" s="25">
        <f>G278*Refino!$D$29+Artefatos!$F$12</f>
        <v/>
      </c>
      <c r="U278" s="25">
        <f>T278*0.1125*FeeCraft/100</f>
        <v/>
      </c>
      <c r="V278" s="23">
        <f>IF(OR(Q278="",R278=""),"",Q278+R278+U278)</f>
        <v/>
      </c>
      <c r="W278" s="23">
        <f>IF(O278="","",O278*(1-TaxaVenda))</f>
        <v/>
      </c>
      <c r="X278" s="26">
        <f>IF(OR(V278="",W278=""),"",W278-V278)</f>
        <v/>
      </c>
      <c r="Y278" s="27">
        <f>IF(X278="","",X278/V278)</f>
        <v/>
      </c>
    </row>
    <row r="279">
      <c r="A279" t="inlineStr">
        <is>
          <t>Graveguard|Botas|T4.0</t>
        </is>
      </c>
      <c r="B279" t="inlineStr">
        <is>
          <t>Graveguard</t>
        </is>
      </c>
      <c r="C279" t="inlineStr">
        <is>
          <t>Botas</t>
        </is>
      </c>
      <c r="D279" t="inlineStr">
        <is>
          <t>T4.0</t>
        </is>
      </c>
      <c r="E279" t="n">
        <v>4</v>
      </c>
      <c r="F279" t="n">
        <v>0</v>
      </c>
      <c r="G279" t="n">
        <v>8</v>
      </c>
      <c r="H279" s="22" t="n"/>
      <c r="I279" s="22" t="n"/>
      <c r="J279" s="22" t="n"/>
      <c r="K279" s="22" t="n"/>
      <c r="L279" s="22" t="n"/>
      <c r="M279" s="22" t="n"/>
      <c r="N279" s="22" t="n"/>
      <c r="O279" s="23">
        <f>IF(COUNT(H279:N279)=0,"",MAX(H279:N279))</f>
        <v/>
      </c>
      <c r="P279" s="24">
        <f>IF(O279="","",INDEX($H$3:$N$3,MATCH(O279,H279:N279,0)))</f>
        <v/>
      </c>
      <c r="Q279" s="23">
        <f>IF(Refino!$L$5="","",G279*Refino!$L$5*(1-RetCraft))</f>
        <v/>
      </c>
      <c r="R279" s="25">
        <f>IF(Artefatos!$L$13="","",Artefatos!$L$13*(1+TaxaCompra))</f>
        <v/>
      </c>
      <c r="S279">
        <f>IF(Artefatos!$M$13="","",Artefatos!$M$13)</f>
        <v/>
      </c>
      <c r="T279" s="25">
        <f>G279*Refino!$D$5+Artefatos!$F$13</f>
        <v/>
      </c>
      <c r="U279" s="25">
        <f>T279*0.1125*FeeCraft/100</f>
        <v/>
      </c>
      <c r="V279" s="23">
        <f>IF(OR(Q279="",R279=""),"",Q279+R279+U279)</f>
        <v/>
      </c>
      <c r="W279" s="23">
        <f>IF(O279="","",O279*(1-TaxaVenda))</f>
        <v/>
      </c>
      <c r="X279" s="26">
        <f>IF(OR(V279="",W279=""),"",W279-V279)</f>
        <v/>
      </c>
      <c r="Y279" s="27">
        <f>IF(X279="","",X279/V279)</f>
        <v/>
      </c>
    </row>
    <row r="280">
      <c r="A280" t="inlineStr">
        <is>
          <t>Graveguard|Botas|T4.1</t>
        </is>
      </c>
      <c r="B280" t="inlineStr">
        <is>
          <t>Graveguard</t>
        </is>
      </c>
      <c r="C280" t="inlineStr">
        <is>
          <t>Botas</t>
        </is>
      </c>
      <c r="D280" t="inlineStr">
        <is>
          <t>T4.1</t>
        </is>
      </c>
      <c r="E280" t="n">
        <v>4</v>
      </c>
      <c r="F280" t="n">
        <v>1</v>
      </c>
      <c r="G280" t="n">
        <v>8</v>
      </c>
      <c r="H280" s="22" t="n"/>
      <c r="I280" s="22" t="n"/>
      <c r="J280" s="22" t="n"/>
      <c r="K280" s="22" t="n"/>
      <c r="L280" s="22" t="n"/>
      <c r="M280" s="22" t="n"/>
      <c r="N280" s="22" t="n"/>
      <c r="O280" s="23">
        <f>IF(COUNT(H280:N280)=0,"",MAX(H280:N280))</f>
        <v/>
      </c>
      <c r="P280" s="24">
        <f>IF(O280="","",INDEX($H$3:$N$3,MATCH(O280,H280:N280,0)))</f>
        <v/>
      </c>
      <c r="Q280" s="23">
        <f>IF(Refino!$L$6="","",G280*Refino!$L$6*(1-RetCraft))</f>
        <v/>
      </c>
      <c r="R280" s="25">
        <f>IF(Artefatos!$L$13="","",Artefatos!$L$13*(1+TaxaCompra))</f>
        <v/>
      </c>
      <c r="S280">
        <f>IF(Artefatos!$M$13="","",Artefatos!$M$13)</f>
        <v/>
      </c>
      <c r="T280" s="25">
        <f>G280*Refino!$D$6+Artefatos!$F$13</f>
        <v/>
      </c>
      <c r="U280" s="25">
        <f>T280*0.1125*FeeCraft/100</f>
        <v/>
      </c>
      <c r="V280" s="23">
        <f>IF(OR(Q280="",R280=""),"",Q280+R280+U280)</f>
        <v/>
      </c>
      <c r="W280" s="23">
        <f>IF(O280="","",O280*(1-TaxaVenda))</f>
        <v/>
      </c>
      <c r="X280" s="26">
        <f>IF(OR(V280="",W280=""),"",W280-V280)</f>
        <v/>
      </c>
      <c r="Y280" s="27">
        <f>IF(X280="","",X280/V280)</f>
        <v/>
      </c>
    </row>
    <row r="281">
      <c r="A281" t="inlineStr">
        <is>
          <t>Graveguard|Botas|T4.2</t>
        </is>
      </c>
      <c r="B281" t="inlineStr">
        <is>
          <t>Graveguard</t>
        </is>
      </c>
      <c r="C281" t="inlineStr">
        <is>
          <t>Botas</t>
        </is>
      </c>
      <c r="D281" t="inlineStr">
        <is>
          <t>T4.2</t>
        </is>
      </c>
      <c r="E281" t="n">
        <v>4</v>
      </c>
      <c r="F281" t="n">
        <v>2</v>
      </c>
      <c r="G281" t="n">
        <v>8</v>
      </c>
      <c r="H281" s="22" t="n"/>
      <c r="I281" s="22" t="n"/>
      <c r="J281" s="22" t="n"/>
      <c r="K281" s="22" t="n"/>
      <c r="L281" s="22" t="n"/>
      <c r="M281" s="22" t="n"/>
      <c r="N281" s="22" t="n"/>
      <c r="O281" s="23">
        <f>IF(COUNT(H281:N281)=0,"",MAX(H281:N281))</f>
        <v/>
      </c>
      <c r="P281" s="24">
        <f>IF(O281="","",INDEX($H$3:$N$3,MATCH(O281,H281:N281,0)))</f>
        <v/>
      </c>
      <c r="Q281" s="23">
        <f>IF(Refino!$L$7="","",G281*Refino!$L$7*(1-RetCraft))</f>
        <v/>
      </c>
      <c r="R281" s="25">
        <f>IF(Artefatos!$L$13="","",Artefatos!$L$13*(1+TaxaCompra))</f>
        <v/>
      </c>
      <c r="S281">
        <f>IF(Artefatos!$M$13="","",Artefatos!$M$13)</f>
        <v/>
      </c>
      <c r="T281" s="25">
        <f>G281*Refino!$D$7+Artefatos!$F$13</f>
        <v/>
      </c>
      <c r="U281" s="25">
        <f>T281*0.1125*FeeCraft/100</f>
        <v/>
      </c>
      <c r="V281" s="23">
        <f>IF(OR(Q281="",R281=""),"",Q281+R281+U281)</f>
        <v/>
      </c>
      <c r="W281" s="23">
        <f>IF(O281="","",O281*(1-TaxaVenda))</f>
        <v/>
      </c>
      <c r="X281" s="26">
        <f>IF(OR(V281="",W281=""),"",W281-V281)</f>
        <v/>
      </c>
      <c r="Y281" s="27">
        <f>IF(X281="","",X281/V281)</f>
        <v/>
      </c>
    </row>
    <row r="282">
      <c r="A282" t="inlineStr">
        <is>
          <t>Graveguard|Botas|T4.3</t>
        </is>
      </c>
      <c r="B282" t="inlineStr">
        <is>
          <t>Graveguard</t>
        </is>
      </c>
      <c r="C282" t="inlineStr">
        <is>
          <t>Botas</t>
        </is>
      </c>
      <c r="D282" t="inlineStr">
        <is>
          <t>T4.3</t>
        </is>
      </c>
      <c r="E282" t="n">
        <v>4</v>
      </c>
      <c r="F282" t="n">
        <v>3</v>
      </c>
      <c r="G282" t="n">
        <v>8</v>
      </c>
      <c r="H282" s="22" t="n"/>
      <c r="I282" s="22" t="n"/>
      <c r="J282" s="22" t="n"/>
      <c r="K282" s="22" t="n"/>
      <c r="L282" s="22" t="n"/>
      <c r="M282" s="22" t="n"/>
      <c r="N282" s="22" t="n"/>
      <c r="O282" s="23">
        <f>IF(COUNT(H282:N282)=0,"",MAX(H282:N282))</f>
        <v/>
      </c>
      <c r="P282" s="24">
        <f>IF(O282="","",INDEX($H$3:$N$3,MATCH(O282,H282:N282,0)))</f>
        <v/>
      </c>
      <c r="Q282" s="23">
        <f>IF(Refino!$L$8="","",G282*Refino!$L$8*(1-RetCraft))</f>
        <v/>
      </c>
      <c r="R282" s="25">
        <f>IF(Artefatos!$L$13="","",Artefatos!$L$13*(1+TaxaCompra))</f>
        <v/>
      </c>
      <c r="S282">
        <f>IF(Artefatos!$M$13="","",Artefatos!$M$13)</f>
        <v/>
      </c>
      <c r="T282" s="25">
        <f>G282*Refino!$D$8+Artefatos!$F$13</f>
        <v/>
      </c>
      <c r="U282" s="25">
        <f>T282*0.1125*FeeCraft/100</f>
        <v/>
      </c>
      <c r="V282" s="23">
        <f>IF(OR(Q282="",R282=""),"",Q282+R282+U282)</f>
        <v/>
      </c>
      <c r="W282" s="23">
        <f>IF(O282="","",O282*(1-TaxaVenda))</f>
        <v/>
      </c>
      <c r="X282" s="26">
        <f>IF(OR(V282="",W282=""),"",W282-V282)</f>
        <v/>
      </c>
      <c r="Y282" s="27">
        <f>IF(X282="","",X282/V282)</f>
        <v/>
      </c>
    </row>
    <row r="283">
      <c r="A283" t="inlineStr">
        <is>
          <t>Graveguard|Botas|T4.4</t>
        </is>
      </c>
      <c r="B283" t="inlineStr">
        <is>
          <t>Graveguard</t>
        </is>
      </c>
      <c r="C283" t="inlineStr">
        <is>
          <t>Botas</t>
        </is>
      </c>
      <c r="D283" t="inlineStr">
        <is>
          <t>T4.4</t>
        </is>
      </c>
      <c r="E283" t="n">
        <v>4</v>
      </c>
      <c r="F283" t="n">
        <v>4</v>
      </c>
      <c r="G283" t="n">
        <v>8</v>
      </c>
      <c r="H283" s="22" t="n"/>
      <c r="I283" s="22" t="n"/>
      <c r="J283" s="22" t="n"/>
      <c r="K283" s="22" t="n"/>
      <c r="L283" s="22" t="n"/>
      <c r="M283" s="22" t="n"/>
      <c r="N283" s="22" t="n"/>
      <c r="O283" s="23">
        <f>IF(COUNT(H283:N283)=0,"",MAX(H283:N283))</f>
        <v/>
      </c>
      <c r="P283" s="24">
        <f>IF(O283="","",INDEX($H$3:$N$3,MATCH(O283,H283:N283,0)))</f>
        <v/>
      </c>
      <c r="Q283" s="23">
        <f>IF(Refino!$L$9="","",G283*Refino!$L$9*(1-RetCraft))</f>
        <v/>
      </c>
      <c r="R283" s="25">
        <f>IF(Artefatos!$L$13="","",Artefatos!$L$13*(1+TaxaCompra))</f>
        <v/>
      </c>
      <c r="S283">
        <f>IF(Artefatos!$M$13="","",Artefatos!$M$13)</f>
        <v/>
      </c>
      <c r="T283" s="25">
        <f>G283*Refino!$D$9+Artefatos!$F$13</f>
        <v/>
      </c>
      <c r="U283" s="25">
        <f>T283*0.1125*FeeCraft/100</f>
        <v/>
      </c>
      <c r="V283" s="23">
        <f>IF(OR(Q283="",R283=""),"",Q283+R283+U283)</f>
        <v/>
      </c>
      <c r="W283" s="23">
        <f>IF(O283="","",O283*(1-TaxaVenda))</f>
        <v/>
      </c>
      <c r="X283" s="26">
        <f>IF(OR(V283="",W283=""),"",W283-V283)</f>
        <v/>
      </c>
      <c r="Y283" s="27">
        <f>IF(X283="","",X283/V283)</f>
        <v/>
      </c>
    </row>
    <row r="284">
      <c r="A284" t="inlineStr">
        <is>
          <t>Graveguard|Botas|T5.0</t>
        </is>
      </c>
      <c r="B284" t="inlineStr">
        <is>
          <t>Graveguard</t>
        </is>
      </c>
      <c r="C284" t="inlineStr">
        <is>
          <t>Botas</t>
        </is>
      </c>
      <c r="D284" t="inlineStr">
        <is>
          <t>T5.0</t>
        </is>
      </c>
      <c r="E284" t="n">
        <v>5</v>
      </c>
      <c r="F284" t="n">
        <v>0</v>
      </c>
      <c r="G284" t="n">
        <v>8</v>
      </c>
      <c r="H284" s="22" t="n"/>
      <c r="I284" s="22" t="n"/>
      <c r="J284" s="22" t="n"/>
      <c r="K284" s="22" t="n"/>
      <c r="L284" s="22" t="n"/>
      <c r="M284" s="22" t="n"/>
      <c r="N284" s="22" t="n"/>
      <c r="O284" s="23">
        <f>IF(COUNT(H284:N284)=0,"",MAX(H284:N284))</f>
        <v/>
      </c>
      <c r="P284" s="24">
        <f>IF(O284="","",INDEX($H$3:$N$3,MATCH(O284,H284:N284,0)))</f>
        <v/>
      </c>
      <c r="Q284" s="23">
        <f>IF(Refino!$L$10="","",G284*Refino!$L$10*(1-RetCraft))</f>
        <v/>
      </c>
      <c r="R284" s="25">
        <f>IF(Artefatos!$L$14="","",Artefatos!$L$14*(1+TaxaCompra))</f>
        <v/>
      </c>
      <c r="S284">
        <f>IF(Artefatos!$M$14="","",Artefatos!$M$14)</f>
        <v/>
      </c>
      <c r="T284" s="25">
        <f>G284*Refino!$D$10+Artefatos!$F$14</f>
        <v/>
      </c>
      <c r="U284" s="25">
        <f>T284*0.1125*FeeCraft/100</f>
        <v/>
      </c>
      <c r="V284" s="23">
        <f>IF(OR(Q284="",R284=""),"",Q284+R284+U284)</f>
        <v/>
      </c>
      <c r="W284" s="23">
        <f>IF(O284="","",O284*(1-TaxaVenda))</f>
        <v/>
      </c>
      <c r="X284" s="26">
        <f>IF(OR(V284="",W284=""),"",W284-V284)</f>
        <v/>
      </c>
      <c r="Y284" s="27">
        <f>IF(X284="","",X284/V284)</f>
        <v/>
      </c>
    </row>
    <row r="285">
      <c r="A285" t="inlineStr">
        <is>
          <t>Graveguard|Botas|T5.1</t>
        </is>
      </c>
      <c r="B285" t="inlineStr">
        <is>
          <t>Graveguard</t>
        </is>
      </c>
      <c r="C285" t="inlineStr">
        <is>
          <t>Botas</t>
        </is>
      </c>
      <c r="D285" t="inlineStr">
        <is>
          <t>T5.1</t>
        </is>
      </c>
      <c r="E285" t="n">
        <v>5</v>
      </c>
      <c r="F285" t="n">
        <v>1</v>
      </c>
      <c r="G285" t="n">
        <v>8</v>
      </c>
      <c r="H285" s="22" t="n"/>
      <c r="I285" s="22" t="n"/>
      <c r="J285" s="22" t="n"/>
      <c r="K285" s="22" t="n"/>
      <c r="L285" s="22" t="n"/>
      <c r="M285" s="22" t="n"/>
      <c r="N285" s="22" t="n"/>
      <c r="O285" s="23">
        <f>IF(COUNT(H285:N285)=0,"",MAX(H285:N285))</f>
        <v/>
      </c>
      <c r="P285" s="24">
        <f>IF(O285="","",INDEX($H$3:$N$3,MATCH(O285,H285:N285,0)))</f>
        <v/>
      </c>
      <c r="Q285" s="23">
        <f>IF(Refino!$L$11="","",G285*Refino!$L$11*(1-RetCraft))</f>
        <v/>
      </c>
      <c r="R285" s="25">
        <f>IF(Artefatos!$L$14="","",Artefatos!$L$14*(1+TaxaCompra))</f>
        <v/>
      </c>
      <c r="S285">
        <f>IF(Artefatos!$M$14="","",Artefatos!$M$14)</f>
        <v/>
      </c>
      <c r="T285" s="25">
        <f>G285*Refino!$D$11+Artefatos!$F$14</f>
        <v/>
      </c>
      <c r="U285" s="25">
        <f>T285*0.1125*FeeCraft/100</f>
        <v/>
      </c>
      <c r="V285" s="23">
        <f>IF(OR(Q285="",R285=""),"",Q285+R285+U285)</f>
        <v/>
      </c>
      <c r="W285" s="23">
        <f>IF(O285="","",O285*(1-TaxaVenda))</f>
        <v/>
      </c>
      <c r="X285" s="26">
        <f>IF(OR(V285="",W285=""),"",W285-V285)</f>
        <v/>
      </c>
      <c r="Y285" s="27">
        <f>IF(X285="","",X285/V285)</f>
        <v/>
      </c>
    </row>
    <row r="286">
      <c r="A286" t="inlineStr">
        <is>
          <t>Graveguard|Botas|T5.2</t>
        </is>
      </c>
      <c r="B286" t="inlineStr">
        <is>
          <t>Graveguard</t>
        </is>
      </c>
      <c r="C286" t="inlineStr">
        <is>
          <t>Botas</t>
        </is>
      </c>
      <c r="D286" t="inlineStr">
        <is>
          <t>T5.2</t>
        </is>
      </c>
      <c r="E286" t="n">
        <v>5</v>
      </c>
      <c r="F286" t="n">
        <v>2</v>
      </c>
      <c r="G286" t="n">
        <v>8</v>
      </c>
      <c r="H286" s="22" t="n"/>
      <c r="I286" s="22" t="n"/>
      <c r="J286" s="22" t="n"/>
      <c r="K286" s="22" t="n"/>
      <c r="L286" s="22" t="n"/>
      <c r="M286" s="22" t="n"/>
      <c r="N286" s="22" t="n"/>
      <c r="O286" s="23">
        <f>IF(COUNT(H286:N286)=0,"",MAX(H286:N286))</f>
        <v/>
      </c>
      <c r="P286" s="24">
        <f>IF(O286="","",INDEX($H$3:$N$3,MATCH(O286,H286:N286,0)))</f>
        <v/>
      </c>
      <c r="Q286" s="23">
        <f>IF(Refino!$L$12="","",G286*Refino!$L$12*(1-RetCraft))</f>
        <v/>
      </c>
      <c r="R286" s="25">
        <f>IF(Artefatos!$L$14="","",Artefatos!$L$14*(1+TaxaCompra))</f>
        <v/>
      </c>
      <c r="S286">
        <f>IF(Artefatos!$M$14="","",Artefatos!$M$14)</f>
        <v/>
      </c>
      <c r="T286" s="25">
        <f>G286*Refino!$D$12+Artefatos!$F$14</f>
        <v/>
      </c>
      <c r="U286" s="25">
        <f>T286*0.1125*FeeCraft/100</f>
        <v/>
      </c>
      <c r="V286" s="23">
        <f>IF(OR(Q286="",R286=""),"",Q286+R286+U286)</f>
        <v/>
      </c>
      <c r="W286" s="23">
        <f>IF(O286="","",O286*(1-TaxaVenda))</f>
        <v/>
      </c>
      <c r="X286" s="26">
        <f>IF(OR(V286="",W286=""),"",W286-V286)</f>
        <v/>
      </c>
      <c r="Y286" s="27">
        <f>IF(X286="","",X286/V286)</f>
        <v/>
      </c>
    </row>
    <row r="287">
      <c r="A287" t="inlineStr">
        <is>
          <t>Graveguard|Botas|T5.3</t>
        </is>
      </c>
      <c r="B287" t="inlineStr">
        <is>
          <t>Graveguard</t>
        </is>
      </c>
      <c r="C287" t="inlineStr">
        <is>
          <t>Botas</t>
        </is>
      </c>
      <c r="D287" t="inlineStr">
        <is>
          <t>T5.3</t>
        </is>
      </c>
      <c r="E287" t="n">
        <v>5</v>
      </c>
      <c r="F287" t="n">
        <v>3</v>
      </c>
      <c r="G287" t="n">
        <v>8</v>
      </c>
      <c r="H287" s="22" t="n"/>
      <c r="I287" s="22" t="n"/>
      <c r="J287" s="22" t="n"/>
      <c r="K287" s="22" t="n"/>
      <c r="L287" s="22" t="n"/>
      <c r="M287" s="22" t="n"/>
      <c r="N287" s="22" t="n"/>
      <c r="O287" s="23">
        <f>IF(COUNT(H287:N287)=0,"",MAX(H287:N287))</f>
        <v/>
      </c>
      <c r="P287" s="24">
        <f>IF(O287="","",INDEX($H$3:$N$3,MATCH(O287,H287:N287,0)))</f>
        <v/>
      </c>
      <c r="Q287" s="23">
        <f>IF(Refino!$L$13="","",G287*Refino!$L$13*(1-RetCraft))</f>
        <v/>
      </c>
      <c r="R287" s="25">
        <f>IF(Artefatos!$L$14="","",Artefatos!$L$14*(1+TaxaCompra))</f>
        <v/>
      </c>
      <c r="S287">
        <f>IF(Artefatos!$M$14="","",Artefatos!$M$14)</f>
        <v/>
      </c>
      <c r="T287" s="25">
        <f>G287*Refino!$D$13+Artefatos!$F$14</f>
        <v/>
      </c>
      <c r="U287" s="25">
        <f>T287*0.1125*FeeCraft/100</f>
        <v/>
      </c>
      <c r="V287" s="23">
        <f>IF(OR(Q287="",R287=""),"",Q287+R287+U287)</f>
        <v/>
      </c>
      <c r="W287" s="23">
        <f>IF(O287="","",O287*(1-TaxaVenda))</f>
        <v/>
      </c>
      <c r="X287" s="26">
        <f>IF(OR(V287="",W287=""),"",W287-V287)</f>
        <v/>
      </c>
      <c r="Y287" s="27">
        <f>IF(X287="","",X287/V287)</f>
        <v/>
      </c>
    </row>
    <row r="288">
      <c r="A288" t="inlineStr">
        <is>
          <t>Graveguard|Botas|T5.4</t>
        </is>
      </c>
      <c r="B288" t="inlineStr">
        <is>
          <t>Graveguard</t>
        </is>
      </c>
      <c r="C288" t="inlineStr">
        <is>
          <t>Botas</t>
        </is>
      </c>
      <c r="D288" t="inlineStr">
        <is>
          <t>T5.4</t>
        </is>
      </c>
      <c r="E288" t="n">
        <v>5</v>
      </c>
      <c r="F288" t="n">
        <v>4</v>
      </c>
      <c r="G288" t="n">
        <v>8</v>
      </c>
      <c r="H288" s="22" t="n"/>
      <c r="I288" s="22" t="n"/>
      <c r="J288" s="22" t="n"/>
      <c r="K288" s="22" t="n"/>
      <c r="L288" s="22" t="n"/>
      <c r="M288" s="22" t="n"/>
      <c r="N288" s="22" t="n"/>
      <c r="O288" s="23">
        <f>IF(COUNT(H288:N288)=0,"",MAX(H288:N288))</f>
        <v/>
      </c>
      <c r="P288" s="24">
        <f>IF(O288="","",INDEX($H$3:$N$3,MATCH(O288,H288:N288,0)))</f>
        <v/>
      </c>
      <c r="Q288" s="23">
        <f>IF(Refino!$L$14="","",G288*Refino!$L$14*(1-RetCraft))</f>
        <v/>
      </c>
      <c r="R288" s="25">
        <f>IF(Artefatos!$L$14="","",Artefatos!$L$14*(1+TaxaCompra))</f>
        <v/>
      </c>
      <c r="S288">
        <f>IF(Artefatos!$M$14="","",Artefatos!$M$14)</f>
        <v/>
      </c>
      <c r="T288" s="25">
        <f>G288*Refino!$D$14+Artefatos!$F$14</f>
        <v/>
      </c>
      <c r="U288" s="25">
        <f>T288*0.1125*FeeCraft/100</f>
        <v/>
      </c>
      <c r="V288" s="23">
        <f>IF(OR(Q288="",R288=""),"",Q288+R288+U288)</f>
        <v/>
      </c>
      <c r="W288" s="23">
        <f>IF(O288="","",O288*(1-TaxaVenda))</f>
        <v/>
      </c>
      <c r="X288" s="26">
        <f>IF(OR(V288="",W288=""),"",W288-V288)</f>
        <v/>
      </c>
      <c r="Y288" s="27">
        <f>IF(X288="","",X288/V288)</f>
        <v/>
      </c>
    </row>
    <row r="289">
      <c r="A289" t="inlineStr">
        <is>
          <t>Graveguard|Botas|T6.0</t>
        </is>
      </c>
      <c r="B289" t="inlineStr">
        <is>
          <t>Graveguard</t>
        </is>
      </c>
      <c r="C289" t="inlineStr">
        <is>
          <t>Botas</t>
        </is>
      </c>
      <c r="D289" t="inlineStr">
        <is>
          <t>T6.0</t>
        </is>
      </c>
      <c r="E289" t="n">
        <v>6</v>
      </c>
      <c r="F289" t="n">
        <v>0</v>
      </c>
      <c r="G289" t="n">
        <v>8</v>
      </c>
      <c r="H289" s="22" t="n"/>
      <c r="I289" s="22" t="n"/>
      <c r="J289" s="22" t="n"/>
      <c r="K289" s="22" t="n"/>
      <c r="L289" s="22" t="n"/>
      <c r="M289" s="22" t="n"/>
      <c r="N289" s="22" t="n"/>
      <c r="O289" s="23">
        <f>IF(COUNT(H289:N289)=0,"",MAX(H289:N289))</f>
        <v/>
      </c>
      <c r="P289" s="24">
        <f>IF(O289="","",INDEX($H$3:$N$3,MATCH(O289,H289:N289,0)))</f>
        <v/>
      </c>
      <c r="Q289" s="23">
        <f>IF(Refino!$L$15="","",G289*Refino!$L$15*(1-RetCraft))</f>
        <v/>
      </c>
      <c r="R289" s="25">
        <f>IF(Artefatos!$L$15="","",Artefatos!$L$15*(1+TaxaCompra))</f>
        <v/>
      </c>
      <c r="S289">
        <f>IF(Artefatos!$M$15="","",Artefatos!$M$15)</f>
        <v/>
      </c>
      <c r="T289" s="25">
        <f>G289*Refino!$D$15+Artefatos!$F$15</f>
        <v/>
      </c>
      <c r="U289" s="25">
        <f>T289*0.1125*FeeCraft/100</f>
        <v/>
      </c>
      <c r="V289" s="23">
        <f>IF(OR(Q289="",R289=""),"",Q289+R289+U289)</f>
        <v/>
      </c>
      <c r="W289" s="23">
        <f>IF(O289="","",O289*(1-TaxaVenda))</f>
        <v/>
      </c>
      <c r="X289" s="26">
        <f>IF(OR(V289="",W289=""),"",W289-V289)</f>
        <v/>
      </c>
      <c r="Y289" s="27">
        <f>IF(X289="","",X289/V289)</f>
        <v/>
      </c>
    </row>
    <row r="290">
      <c r="A290" t="inlineStr">
        <is>
          <t>Graveguard|Botas|T6.1</t>
        </is>
      </c>
      <c r="B290" t="inlineStr">
        <is>
          <t>Graveguard</t>
        </is>
      </c>
      <c r="C290" t="inlineStr">
        <is>
          <t>Botas</t>
        </is>
      </c>
      <c r="D290" t="inlineStr">
        <is>
          <t>T6.1</t>
        </is>
      </c>
      <c r="E290" t="n">
        <v>6</v>
      </c>
      <c r="F290" t="n">
        <v>1</v>
      </c>
      <c r="G290" t="n">
        <v>8</v>
      </c>
      <c r="H290" s="22" t="n"/>
      <c r="I290" s="22" t="n"/>
      <c r="J290" s="22" t="n"/>
      <c r="K290" s="22" t="n"/>
      <c r="L290" s="22" t="n"/>
      <c r="M290" s="22" t="n"/>
      <c r="N290" s="22" t="n"/>
      <c r="O290" s="23">
        <f>IF(COUNT(H290:N290)=0,"",MAX(H290:N290))</f>
        <v/>
      </c>
      <c r="P290" s="24">
        <f>IF(O290="","",INDEX($H$3:$N$3,MATCH(O290,H290:N290,0)))</f>
        <v/>
      </c>
      <c r="Q290" s="23">
        <f>IF(Refino!$L$16="","",G290*Refino!$L$16*(1-RetCraft))</f>
        <v/>
      </c>
      <c r="R290" s="25">
        <f>IF(Artefatos!$L$15="","",Artefatos!$L$15*(1+TaxaCompra))</f>
        <v/>
      </c>
      <c r="S290">
        <f>IF(Artefatos!$M$15="","",Artefatos!$M$15)</f>
        <v/>
      </c>
      <c r="T290" s="25">
        <f>G290*Refino!$D$16+Artefatos!$F$15</f>
        <v/>
      </c>
      <c r="U290" s="25">
        <f>T290*0.1125*FeeCraft/100</f>
        <v/>
      </c>
      <c r="V290" s="23">
        <f>IF(OR(Q290="",R290=""),"",Q290+R290+U290)</f>
        <v/>
      </c>
      <c r="W290" s="23">
        <f>IF(O290="","",O290*(1-TaxaVenda))</f>
        <v/>
      </c>
      <c r="X290" s="26">
        <f>IF(OR(V290="",W290=""),"",W290-V290)</f>
        <v/>
      </c>
      <c r="Y290" s="27">
        <f>IF(X290="","",X290/V290)</f>
        <v/>
      </c>
    </row>
    <row r="291">
      <c r="A291" t="inlineStr">
        <is>
          <t>Graveguard|Botas|T6.2</t>
        </is>
      </c>
      <c r="B291" t="inlineStr">
        <is>
          <t>Graveguard</t>
        </is>
      </c>
      <c r="C291" t="inlineStr">
        <is>
          <t>Botas</t>
        </is>
      </c>
      <c r="D291" t="inlineStr">
        <is>
          <t>T6.2</t>
        </is>
      </c>
      <c r="E291" t="n">
        <v>6</v>
      </c>
      <c r="F291" t="n">
        <v>2</v>
      </c>
      <c r="G291" t="n">
        <v>8</v>
      </c>
      <c r="H291" s="22" t="n"/>
      <c r="I291" s="22" t="n"/>
      <c r="J291" s="22" t="n"/>
      <c r="K291" s="22" t="n"/>
      <c r="L291" s="22" t="n"/>
      <c r="M291" s="22" t="n"/>
      <c r="N291" s="22" t="n"/>
      <c r="O291" s="23">
        <f>IF(COUNT(H291:N291)=0,"",MAX(H291:N291))</f>
        <v/>
      </c>
      <c r="P291" s="24">
        <f>IF(O291="","",INDEX($H$3:$N$3,MATCH(O291,H291:N291,0)))</f>
        <v/>
      </c>
      <c r="Q291" s="23">
        <f>IF(Refino!$L$17="","",G291*Refino!$L$17*(1-RetCraft))</f>
        <v/>
      </c>
      <c r="R291" s="25">
        <f>IF(Artefatos!$L$15="","",Artefatos!$L$15*(1+TaxaCompra))</f>
        <v/>
      </c>
      <c r="S291">
        <f>IF(Artefatos!$M$15="","",Artefatos!$M$15)</f>
        <v/>
      </c>
      <c r="T291" s="25">
        <f>G291*Refino!$D$17+Artefatos!$F$15</f>
        <v/>
      </c>
      <c r="U291" s="25">
        <f>T291*0.1125*FeeCraft/100</f>
        <v/>
      </c>
      <c r="V291" s="23">
        <f>IF(OR(Q291="",R291=""),"",Q291+R291+U291)</f>
        <v/>
      </c>
      <c r="W291" s="23">
        <f>IF(O291="","",O291*(1-TaxaVenda))</f>
        <v/>
      </c>
      <c r="X291" s="26">
        <f>IF(OR(V291="",W291=""),"",W291-V291)</f>
        <v/>
      </c>
      <c r="Y291" s="27">
        <f>IF(X291="","",X291/V291)</f>
        <v/>
      </c>
    </row>
    <row r="292">
      <c r="A292" t="inlineStr">
        <is>
          <t>Graveguard|Botas|T6.3</t>
        </is>
      </c>
      <c r="B292" t="inlineStr">
        <is>
          <t>Graveguard</t>
        </is>
      </c>
      <c r="C292" t="inlineStr">
        <is>
          <t>Botas</t>
        </is>
      </c>
      <c r="D292" t="inlineStr">
        <is>
          <t>T6.3</t>
        </is>
      </c>
      <c r="E292" t="n">
        <v>6</v>
      </c>
      <c r="F292" t="n">
        <v>3</v>
      </c>
      <c r="G292" t="n">
        <v>8</v>
      </c>
      <c r="H292" s="22" t="n"/>
      <c r="I292" s="22" t="n"/>
      <c r="J292" s="22" t="n"/>
      <c r="K292" s="22" t="n"/>
      <c r="L292" s="22" t="n"/>
      <c r="M292" s="22" t="n"/>
      <c r="N292" s="22" t="n"/>
      <c r="O292" s="23">
        <f>IF(COUNT(H292:N292)=0,"",MAX(H292:N292))</f>
        <v/>
      </c>
      <c r="P292" s="24">
        <f>IF(O292="","",INDEX($H$3:$N$3,MATCH(O292,H292:N292,0)))</f>
        <v/>
      </c>
      <c r="Q292" s="23">
        <f>IF(Refino!$L$18="","",G292*Refino!$L$18*(1-RetCraft))</f>
        <v/>
      </c>
      <c r="R292" s="25">
        <f>IF(Artefatos!$L$15="","",Artefatos!$L$15*(1+TaxaCompra))</f>
        <v/>
      </c>
      <c r="S292">
        <f>IF(Artefatos!$M$15="","",Artefatos!$M$15)</f>
        <v/>
      </c>
      <c r="T292" s="25">
        <f>G292*Refino!$D$18+Artefatos!$F$15</f>
        <v/>
      </c>
      <c r="U292" s="25">
        <f>T292*0.1125*FeeCraft/100</f>
        <v/>
      </c>
      <c r="V292" s="23">
        <f>IF(OR(Q292="",R292=""),"",Q292+R292+U292)</f>
        <v/>
      </c>
      <c r="W292" s="23">
        <f>IF(O292="","",O292*(1-TaxaVenda))</f>
        <v/>
      </c>
      <c r="X292" s="26">
        <f>IF(OR(V292="",W292=""),"",W292-V292)</f>
        <v/>
      </c>
      <c r="Y292" s="27">
        <f>IF(X292="","",X292/V292)</f>
        <v/>
      </c>
    </row>
    <row r="293">
      <c r="A293" t="inlineStr">
        <is>
          <t>Graveguard|Botas|T6.4</t>
        </is>
      </c>
      <c r="B293" t="inlineStr">
        <is>
          <t>Graveguard</t>
        </is>
      </c>
      <c r="C293" t="inlineStr">
        <is>
          <t>Botas</t>
        </is>
      </c>
      <c r="D293" t="inlineStr">
        <is>
          <t>T6.4</t>
        </is>
      </c>
      <c r="E293" t="n">
        <v>6</v>
      </c>
      <c r="F293" t="n">
        <v>4</v>
      </c>
      <c r="G293" t="n">
        <v>8</v>
      </c>
      <c r="H293" s="22" t="n"/>
      <c r="I293" s="22" t="n"/>
      <c r="J293" s="22" t="n"/>
      <c r="K293" s="22" t="n"/>
      <c r="L293" s="22" t="n"/>
      <c r="M293" s="22" t="n"/>
      <c r="N293" s="22" t="n"/>
      <c r="O293" s="23">
        <f>IF(COUNT(H293:N293)=0,"",MAX(H293:N293))</f>
        <v/>
      </c>
      <c r="P293" s="24">
        <f>IF(O293="","",INDEX($H$3:$N$3,MATCH(O293,H293:N293,0)))</f>
        <v/>
      </c>
      <c r="Q293" s="23">
        <f>IF(Refino!$L$19="","",G293*Refino!$L$19*(1-RetCraft))</f>
        <v/>
      </c>
      <c r="R293" s="25">
        <f>IF(Artefatos!$L$15="","",Artefatos!$L$15*(1+TaxaCompra))</f>
        <v/>
      </c>
      <c r="S293">
        <f>IF(Artefatos!$M$15="","",Artefatos!$M$15)</f>
        <v/>
      </c>
      <c r="T293" s="25">
        <f>G293*Refino!$D$19+Artefatos!$F$15</f>
        <v/>
      </c>
      <c r="U293" s="25">
        <f>T293*0.1125*FeeCraft/100</f>
        <v/>
      </c>
      <c r="V293" s="23">
        <f>IF(OR(Q293="",R293=""),"",Q293+R293+U293)</f>
        <v/>
      </c>
      <c r="W293" s="23">
        <f>IF(O293="","",O293*(1-TaxaVenda))</f>
        <v/>
      </c>
      <c r="X293" s="26">
        <f>IF(OR(V293="",W293=""),"",W293-V293)</f>
        <v/>
      </c>
      <c r="Y293" s="27">
        <f>IF(X293="","",X293/V293)</f>
        <v/>
      </c>
    </row>
    <row r="294">
      <c r="A294" t="inlineStr">
        <is>
          <t>Graveguard|Botas|T7.0</t>
        </is>
      </c>
      <c r="B294" t="inlineStr">
        <is>
          <t>Graveguard</t>
        </is>
      </c>
      <c r="C294" t="inlineStr">
        <is>
          <t>Botas</t>
        </is>
      </c>
      <c r="D294" t="inlineStr">
        <is>
          <t>T7.0</t>
        </is>
      </c>
      <c r="E294" t="n">
        <v>7</v>
      </c>
      <c r="F294" t="n">
        <v>0</v>
      </c>
      <c r="G294" t="n">
        <v>8</v>
      </c>
      <c r="H294" s="22" t="n"/>
      <c r="I294" s="22" t="n"/>
      <c r="J294" s="22" t="n"/>
      <c r="K294" s="22" t="n"/>
      <c r="L294" s="22" t="n"/>
      <c r="M294" s="22" t="n"/>
      <c r="N294" s="22" t="n"/>
      <c r="O294" s="23">
        <f>IF(COUNT(H294:N294)=0,"",MAX(H294:N294))</f>
        <v/>
      </c>
      <c r="P294" s="24">
        <f>IF(O294="","",INDEX($H$3:$N$3,MATCH(O294,H294:N294,0)))</f>
        <v/>
      </c>
      <c r="Q294" s="23">
        <f>IF(Refino!$L$20="","",G294*Refino!$L$20*(1-RetCraft))</f>
        <v/>
      </c>
      <c r="R294" s="25">
        <f>IF(Artefatos!$L$16="","",Artefatos!$L$16*(1+TaxaCompra))</f>
        <v/>
      </c>
      <c r="S294">
        <f>IF(Artefatos!$M$16="","",Artefatos!$M$16)</f>
        <v/>
      </c>
      <c r="T294" s="25">
        <f>G294*Refino!$D$20+Artefatos!$F$16</f>
        <v/>
      </c>
      <c r="U294" s="25">
        <f>T294*0.1125*FeeCraft/100</f>
        <v/>
      </c>
      <c r="V294" s="23">
        <f>IF(OR(Q294="",R294=""),"",Q294+R294+U294)</f>
        <v/>
      </c>
      <c r="W294" s="23">
        <f>IF(O294="","",O294*(1-TaxaVenda))</f>
        <v/>
      </c>
      <c r="X294" s="26">
        <f>IF(OR(V294="",W294=""),"",W294-V294)</f>
        <v/>
      </c>
      <c r="Y294" s="27">
        <f>IF(X294="","",X294/V294)</f>
        <v/>
      </c>
    </row>
    <row r="295">
      <c r="A295" t="inlineStr">
        <is>
          <t>Graveguard|Botas|T7.1</t>
        </is>
      </c>
      <c r="B295" t="inlineStr">
        <is>
          <t>Graveguard</t>
        </is>
      </c>
      <c r="C295" t="inlineStr">
        <is>
          <t>Botas</t>
        </is>
      </c>
      <c r="D295" t="inlineStr">
        <is>
          <t>T7.1</t>
        </is>
      </c>
      <c r="E295" t="n">
        <v>7</v>
      </c>
      <c r="F295" t="n">
        <v>1</v>
      </c>
      <c r="G295" t="n">
        <v>8</v>
      </c>
      <c r="H295" s="22" t="n"/>
      <c r="I295" s="22" t="n"/>
      <c r="J295" s="22" t="n"/>
      <c r="K295" s="22" t="n"/>
      <c r="L295" s="22" t="n"/>
      <c r="M295" s="22" t="n"/>
      <c r="N295" s="22" t="n"/>
      <c r="O295" s="23">
        <f>IF(COUNT(H295:N295)=0,"",MAX(H295:N295))</f>
        <v/>
      </c>
      <c r="P295" s="24">
        <f>IF(O295="","",INDEX($H$3:$N$3,MATCH(O295,H295:N295,0)))</f>
        <v/>
      </c>
      <c r="Q295" s="23">
        <f>IF(Refino!$L$21="","",G295*Refino!$L$21*(1-RetCraft))</f>
        <v/>
      </c>
      <c r="R295" s="25">
        <f>IF(Artefatos!$L$16="","",Artefatos!$L$16*(1+TaxaCompra))</f>
        <v/>
      </c>
      <c r="S295">
        <f>IF(Artefatos!$M$16="","",Artefatos!$M$16)</f>
        <v/>
      </c>
      <c r="T295" s="25">
        <f>G295*Refino!$D$21+Artefatos!$F$16</f>
        <v/>
      </c>
      <c r="U295" s="25">
        <f>T295*0.1125*FeeCraft/100</f>
        <v/>
      </c>
      <c r="V295" s="23">
        <f>IF(OR(Q295="",R295=""),"",Q295+R295+U295)</f>
        <v/>
      </c>
      <c r="W295" s="23">
        <f>IF(O295="","",O295*(1-TaxaVenda))</f>
        <v/>
      </c>
      <c r="X295" s="26">
        <f>IF(OR(V295="",W295=""),"",W295-V295)</f>
        <v/>
      </c>
      <c r="Y295" s="27">
        <f>IF(X295="","",X295/V295)</f>
        <v/>
      </c>
    </row>
    <row r="296">
      <c r="A296" t="inlineStr">
        <is>
          <t>Graveguard|Botas|T7.2</t>
        </is>
      </c>
      <c r="B296" t="inlineStr">
        <is>
          <t>Graveguard</t>
        </is>
      </c>
      <c r="C296" t="inlineStr">
        <is>
          <t>Botas</t>
        </is>
      </c>
      <c r="D296" t="inlineStr">
        <is>
          <t>T7.2</t>
        </is>
      </c>
      <c r="E296" t="n">
        <v>7</v>
      </c>
      <c r="F296" t="n">
        <v>2</v>
      </c>
      <c r="G296" t="n">
        <v>8</v>
      </c>
      <c r="H296" s="22" t="n"/>
      <c r="I296" s="22" t="n"/>
      <c r="J296" s="22" t="n"/>
      <c r="K296" s="22" t="n"/>
      <c r="L296" s="22" t="n"/>
      <c r="M296" s="22" t="n"/>
      <c r="N296" s="22" t="n"/>
      <c r="O296" s="23">
        <f>IF(COUNT(H296:N296)=0,"",MAX(H296:N296))</f>
        <v/>
      </c>
      <c r="P296" s="24">
        <f>IF(O296="","",INDEX($H$3:$N$3,MATCH(O296,H296:N296,0)))</f>
        <v/>
      </c>
      <c r="Q296" s="23">
        <f>IF(Refino!$L$22="","",G296*Refino!$L$22*(1-RetCraft))</f>
        <v/>
      </c>
      <c r="R296" s="25">
        <f>IF(Artefatos!$L$16="","",Artefatos!$L$16*(1+TaxaCompra))</f>
        <v/>
      </c>
      <c r="S296">
        <f>IF(Artefatos!$M$16="","",Artefatos!$M$16)</f>
        <v/>
      </c>
      <c r="T296" s="25">
        <f>G296*Refino!$D$22+Artefatos!$F$16</f>
        <v/>
      </c>
      <c r="U296" s="25">
        <f>T296*0.1125*FeeCraft/100</f>
        <v/>
      </c>
      <c r="V296" s="23">
        <f>IF(OR(Q296="",R296=""),"",Q296+R296+U296)</f>
        <v/>
      </c>
      <c r="W296" s="23">
        <f>IF(O296="","",O296*(1-TaxaVenda))</f>
        <v/>
      </c>
      <c r="X296" s="26">
        <f>IF(OR(V296="",W296=""),"",W296-V296)</f>
        <v/>
      </c>
      <c r="Y296" s="27">
        <f>IF(X296="","",X296/V296)</f>
        <v/>
      </c>
    </row>
    <row r="297">
      <c r="A297" t="inlineStr">
        <is>
          <t>Graveguard|Botas|T7.3</t>
        </is>
      </c>
      <c r="B297" t="inlineStr">
        <is>
          <t>Graveguard</t>
        </is>
      </c>
      <c r="C297" t="inlineStr">
        <is>
          <t>Botas</t>
        </is>
      </c>
      <c r="D297" t="inlineStr">
        <is>
          <t>T7.3</t>
        </is>
      </c>
      <c r="E297" t="n">
        <v>7</v>
      </c>
      <c r="F297" t="n">
        <v>3</v>
      </c>
      <c r="G297" t="n">
        <v>8</v>
      </c>
      <c r="H297" s="22" t="n"/>
      <c r="I297" s="22" t="n"/>
      <c r="J297" s="22" t="n"/>
      <c r="K297" s="22" t="n"/>
      <c r="L297" s="22" t="n"/>
      <c r="M297" s="22" t="n"/>
      <c r="N297" s="22" t="n"/>
      <c r="O297" s="23">
        <f>IF(COUNT(H297:N297)=0,"",MAX(H297:N297))</f>
        <v/>
      </c>
      <c r="P297" s="24">
        <f>IF(O297="","",INDEX($H$3:$N$3,MATCH(O297,H297:N297,0)))</f>
        <v/>
      </c>
      <c r="Q297" s="23">
        <f>IF(Refino!$L$23="","",G297*Refino!$L$23*(1-RetCraft))</f>
        <v/>
      </c>
      <c r="R297" s="25">
        <f>IF(Artefatos!$L$16="","",Artefatos!$L$16*(1+TaxaCompra))</f>
        <v/>
      </c>
      <c r="S297">
        <f>IF(Artefatos!$M$16="","",Artefatos!$M$16)</f>
        <v/>
      </c>
      <c r="T297" s="25">
        <f>G297*Refino!$D$23+Artefatos!$F$16</f>
        <v/>
      </c>
      <c r="U297" s="25">
        <f>T297*0.1125*FeeCraft/100</f>
        <v/>
      </c>
      <c r="V297" s="23">
        <f>IF(OR(Q297="",R297=""),"",Q297+R297+U297)</f>
        <v/>
      </c>
      <c r="W297" s="23">
        <f>IF(O297="","",O297*(1-TaxaVenda))</f>
        <v/>
      </c>
      <c r="X297" s="26">
        <f>IF(OR(V297="",W297=""),"",W297-V297)</f>
        <v/>
      </c>
      <c r="Y297" s="27">
        <f>IF(X297="","",X297/V297)</f>
        <v/>
      </c>
    </row>
    <row r="298">
      <c r="A298" t="inlineStr">
        <is>
          <t>Graveguard|Botas|T7.4</t>
        </is>
      </c>
      <c r="B298" t="inlineStr">
        <is>
          <t>Graveguard</t>
        </is>
      </c>
      <c r="C298" t="inlineStr">
        <is>
          <t>Botas</t>
        </is>
      </c>
      <c r="D298" t="inlineStr">
        <is>
          <t>T7.4</t>
        </is>
      </c>
      <c r="E298" t="n">
        <v>7</v>
      </c>
      <c r="F298" t="n">
        <v>4</v>
      </c>
      <c r="G298" t="n">
        <v>8</v>
      </c>
      <c r="H298" s="22" t="n"/>
      <c r="I298" s="22" t="n"/>
      <c r="J298" s="22" t="n"/>
      <c r="K298" s="22" t="n"/>
      <c r="L298" s="22" t="n"/>
      <c r="M298" s="22" t="n"/>
      <c r="N298" s="22" t="n"/>
      <c r="O298" s="23">
        <f>IF(COUNT(H298:N298)=0,"",MAX(H298:N298))</f>
        <v/>
      </c>
      <c r="P298" s="24">
        <f>IF(O298="","",INDEX($H$3:$N$3,MATCH(O298,H298:N298,0)))</f>
        <v/>
      </c>
      <c r="Q298" s="23">
        <f>IF(Refino!$L$24="","",G298*Refino!$L$24*(1-RetCraft))</f>
        <v/>
      </c>
      <c r="R298" s="25">
        <f>IF(Artefatos!$L$16="","",Artefatos!$L$16*(1+TaxaCompra))</f>
        <v/>
      </c>
      <c r="S298">
        <f>IF(Artefatos!$M$16="","",Artefatos!$M$16)</f>
        <v/>
      </c>
      <c r="T298" s="25">
        <f>G298*Refino!$D$24+Artefatos!$F$16</f>
        <v/>
      </c>
      <c r="U298" s="25">
        <f>T298*0.1125*FeeCraft/100</f>
        <v/>
      </c>
      <c r="V298" s="23">
        <f>IF(OR(Q298="",R298=""),"",Q298+R298+U298)</f>
        <v/>
      </c>
      <c r="W298" s="23">
        <f>IF(O298="","",O298*(1-TaxaVenda))</f>
        <v/>
      </c>
      <c r="X298" s="26">
        <f>IF(OR(V298="",W298=""),"",W298-V298)</f>
        <v/>
      </c>
      <c r="Y298" s="27">
        <f>IF(X298="","",X298/V298)</f>
        <v/>
      </c>
    </row>
    <row r="299">
      <c r="A299" t="inlineStr">
        <is>
          <t>Graveguard|Botas|T8.0</t>
        </is>
      </c>
      <c r="B299" t="inlineStr">
        <is>
          <t>Graveguard</t>
        </is>
      </c>
      <c r="C299" t="inlineStr">
        <is>
          <t>Botas</t>
        </is>
      </c>
      <c r="D299" t="inlineStr">
        <is>
          <t>T8.0</t>
        </is>
      </c>
      <c r="E299" t="n">
        <v>8</v>
      </c>
      <c r="F299" t="n">
        <v>0</v>
      </c>
      <c r="G299" t="n">
        <v>8</v>
      </c>
      <c r="H299" s="22" t="n"/>
      <c r="I299" s="22" t="n"/>
      <c r="J299" s="22" t="n"/>
      <c r="K299" s="22" t="n"/>
      <c r="L299" s="22" t="n"/>
      <c r="M299" s="22" t="n"/>
      <c r="N299" s="22" t="n"/>
      <c r="O299" s="23">
        <f>IF(COUNT(H299:N299)=0,"",MAX(H299:N299))</f>
        <v/>
      </c>
      <c r="P299" s="24">
        <f>IF(O299="","",INDEX($H$3:$N$3,MATCH(O299,H299:N299,0)))</f>
        <v/>
      </c>
      <c r="Q299" s="23">
        <f>IF(Refino!$L$25="","",G299*Refino!$L$25*(1-RetCraft))</f>
        <v/>
      </c>
      <c r="R299" s="25">
        <f>IF(Artefatos!$L$17="","",Artefatos!$L$17*(1+TaxaCompra))</f>
        <v/>
      </c>
      <c r="S299">
        <f>IF(Artefatos!$M$17="","",Artefatos!$M$17)</f>
        <v/>
      </c>
      <c r="T299" s="25">
        <f>G299*Refino!$D$25+Artefatos!$F$17</f>
        <v/>
      </c>
      <c r="U299" s="25">
        <f>T299*0.1125*FeeCraft/100</f>
        <v/>
      </c>
      <c r="V299" s="23">
        <f>IF(OR(Q299="",R299=""),"",Q299+R299+U299)</f>
        <v/>
      </c>
      <c r="W299" s="23">
        <f>IF(O299="","",O299*(1-TaxaVenda))</f>
        <v/>
      </c>
      <c r="X299" s="26">
        <f>IF(OR(V299="",W299=""),"",W299-V299)</f>
        <v/>
      </c>
      <c r="Y299" s="27">
        <f>IF(X299="","",X299/V299)</f>
        <v/>
      </c>
    </row>
    <row r="300">
      <c r="A300" t="inlineStr">
        <is>
          <t>Graveguard|Botas|T8.1</t>
        </is>
      </c>
      <c r="B300" t="inlineStr">
        <is>
          <t>Graveguard</t>
        </is>
      </c>
      <c r="C300" t="inlineStr">
        <is>
          <t>Botas</t>
        </is>
      </c>
      <c r="D300" t="inlineStr">
        <is>
          <t>T8.1</t>
        </is>
      </c>
      <c r="E300" t="n">
        <v>8</v>
      </c>
      <c r="F300" t="n">
        <v>1</v>
      </c>
      <c r="G300" t="n">
        <v>8</v>
      </c>
      <c r="H300" s="22" t="n"/>
      <c r="I300" s="22" t="n"/>
      <c r="J300" s="22" t="n"/>
      <c r="K300" s="22" t="n"/>
      <c r="L300" s="22" t="n"/>
      <c r="M300" s="22" t="n"/>
      <c r="N300" s="22" t="n"/>
      <c r="O300" s="23">
        <f>IF(COUNT(H300:N300)=0,"",MAX(H300:N300))</f>
        <v/>
      </c>
      <c r="P300" s="24">
        <f>IF(O300="","",INDEX($H$3:$N$3,MATCH(O300,H300:N300,0)))</f>
        <v/>
      </c>
      <c r="Q300" s="23">
        <f>IF(Refino!$L$26="","",G300*Refino!$L$26*(1-RetCraft))</f>
        <v/>
      </c>
      <c r="R300" s="25">
        <f>IF(Artefatos!$L$17="","",Artefatos!$L$17*(1+TaxaCompra))</f>
        <v/>
      </c>
      <c r="S300">
        <f>IF(Artefatos!$M$17="","",Artefatos!$M$17)</f>
        <v/>
      </c>
      <c r="T300" s="25">
        <f>G300*Refino!$D$26+Artefatos!$F$17</f>
        <v/>
      </c>
      <c r="U300" s="25">
        <f>T300*0.1125*FeeCraft/100</f>
        <v/>
      </c>
      <c r="V300" s="23">
        <f>IF(OR(Q300="",R300=""),"",Q300+R300+U300)</f>
        <v/>
      </c>
      <c r="W300" s="23">
        <f>IF(O300="","",O300*(1-TaxaVenda))</f>
        <v/>
      </c>
      <c r="X300" s="26">
        <f>IF(OR(V300="",W300=""),"",W300-V300)</f>
        <v/>
      </c>
      <c r="Y300" s="27">
        <f>IF(X300="","",X300/V300)</f>
        <v/>
      </c>
    </row>
    <row r="301">
      <c r="A301" t="inlineStr">
        <is>
          <t>Graveguard|Botas|T8.2</t>
        </is>
      </c>
      <c r="B301" t="inlineStr">
        <is>
          <t>Graveguard</t>
        </is>
      </c>
      <c r="C301" t="inlineStr">
        <is>
          <t>Botas</t>
        </is>
      </c>
      <c r="D301" t="inlineStr">
        <is>
          <t>T8.2</t>
        </is>
      </c>
      <c r="E301" t="n">
        <v>8</v>
      </c>
      <c r="F301" t="n">
        <v>2</v>
      </c>
      <c r="G301" t="n">
        <v>8</v>
      </c>
      <c r="H301" s="22" t="n"/>
      <c r="I301" s="22" t="n"/>
      <c r="J301" s="22" t="n"/>
      <c r="K301" s="22" t="n"/>
      <c r="L301" s="22" t="n"/>
      <c r="M301" s="22" t="n"/>
      <c r="N301" s="22" t="n"/>
      <c r="O301" s="23">
        <f>IF(COUNT(H301:N301)=0,"",MAX(H301:N301))</f>
        <v/>
      </c>
      <c r="P301" s="24">
        <f>IF(O301="","",INDEX($H$3:$N$3,MATCH(O301,H301:N301,0)))</f>
        <v/>
      </c>
      <c r="Q301" s="23">
        <f>IF(Refino!$L$27="","",G301*Refino!$L$27*(1-RetCraft))</f>
        <v/>
      </c>
      <c r="R301" s="25">
        <f>IF(Artefatos!$L$17="","",Artefatos!$L$17*(1+TaxaCompra))</f>
        <v/>
      </c>
      <c r="S301">
        <f>IF(Artefatos!$M$17="","",Artefatos!$M$17)</f>
        <v/>
      </c>
      <c r="T301" s="25">
        <f>G301*Refino!$D$27+Artefatos!$F$17</f>
        <v/>
      </c>
      <c r="U301" s="25">
        <f>T301*0.1125*FeeCraft/100</f>
        <v/>
      </c>
      <c r="V301" s="23">
        <f>IF(OR(Q301="",R301=""),"",Q301+R301+U301)</f>
        <v/>
      </c>
      <c r="W301" s="23">
        <f>IF(O301="","",O301*(1-TaxaVenda))</f>
        <v/>
      </c>
      <c r="X301" s="26">
        <f>IF(OR(V301="",W301=""),"",W301-V301)</f>
        <v/>
      </c>
      <c r="Y301" s="27">
        <f>IF(X301="","",X301/V301)</f>
        <v/>
      </c>
    </row>
    <row r="302">
      <c r="A302" t="inlineStr">
        <is>
          <t>Graveguard|Botas|T8.3</t>
        </is>
      </c>
      <c r="B302" t="inlineStr">
        <is>
          <t>Graveguard</t>
        </is>
      </c>
      <c r="C302" t="inlineStr">
        <is>
          <t>Botas</t>
        </is>
      </c>
      <c r="D302" t="inlineStr">
        <is>
          <t>T8.3</t>
        </is>
      </c>
      <c r="E302" t="n">
        <v>8</v>
      </c>
      <c r="F302" t="n">
        <v>3</v>
      </c>
      <c r="G302" t="n">
        <v>8</v>
      </c>
      <c r="H302" s="22" t="n"/>
      <c r="I302" s="22" t="n"/>
      <c r="J302" s="22" t="n"/>
      <c r="K302" s="22" t="n"/>
      <c r="L302" s="22" t="n"/>
      <c r="M302" s="22" t="n"/>
      <c r="N302" s="22" t="n"/>
      <c r="O302" s="23">
        <f>IF(COUNT(H302:N302)=0,"",MAX(H302:N302))</f>
        <v/>
      </c>
      <c r="P302" s="24">
        <f>IF(O302="","",INDEX($H$3:$N$3,MATCH(O302,H302:N302,0)))</f>
        <v/>
      </c>
      <c r="Q302" s="23">
        <f>IF(Refino!$L$28="","",G302*Refino!$L$28*(1-RetCraft))</f>
        <v/>
      </c>
      <c r="R302" s="25">
        <f>IF(Artefatos!$L$17="","",Artefatos!$L$17*(1+TaxaCompra))</f>
        <v/>
      </c>
      <c r="S302">
        <f>IF(Artefatos!$M$17="","",Artefatos!$M$17)</f>
        <v/>
      </c>
      <c r="T302" s="25">
        <f>G302*Refino!$D$28+Artefatos!$F$17</f>
        <v/>
      </c>
      <c r="U302" s="25">
        <f>T302*0.1125*FeeCraft/100</f>
        <v/>
      </c>
      <c r="V302" s="23">
        <f>IF(OR(Q302="",R302=""),"",Q302+R302+U302)</f>
        <v/>
      </c>
      <c r="W302" s="23">
        <f>IF(O302="","",O302*(1-TaxaVenda))</f>
        <v/>
      </c>
      <c r="X302" s="26">
        <f>IF(OR(V302="",W302=""),"",W302-V302)</f>
        <v/>
      </c>
      <c r="Y302" s="27">
        <f>IF(X302="","",X302/V302)</f>
        <v/>
      </c>
    </row>
    <row r="303">
      <c r="A303" t="inlineStr">
        <is>
          <t>Graveguard|Botas|T8.4</t>
        </is>
      </c>
      <c r="B303" t="inlineStr">
        <is>
          <t>Graveguard</t>
        </is>
      </c>
      <c r="C303" t="inlineStr">
        <is>
          <t>Botas</t>
        </is>
      </c>
      <c r="D303" t="inlineStr">
        <is>
          <t>T8.4</t>
        </is>
      </c>
      <c r="E303" t="n">
        <v>8</v>
      </c>
      <c r="F303" t="n">
        <v>4</v>
      </c>
      <c r="G303" t="n">
        <v>8</v>
      </c>
      <c r="H303" s="22" t="n"/>
      <c r="I303" s="22" t="n"/>
      <c r="J303" s="22" t="n"/>
      <c r="K303" s="22" t="n"/>
      <c r="L303" s="22" t="n"/>
      <c r="M303" s="22" t="n"/>
      <c r="N303" s="22" t="n"/>
      <c r="O303" s="23">
        <f>IF(COUNT(H303:N303)=0,"",MAX(H303:N303))</f>
        <v/>
      </c>
      <c r="P303" s="24">
        <f>IF(O303="","",INDEX($H$3:$N$3,MATCH(O303,H303:N303,0)))</f>
        <v/>
      </c>
      <c r="Q303" s="23">
        <f>IF(Refino!$L$29="","",G303*Refino!$L$29*(1-RetCraft))</f>
        <v/>
      </c>
      <c r="R303" s="25">
        <f>IF(Artefatos!$L$17="","",Artefatos!$L$17*(1+TaxaCompra))</f>
        <v/>
      </c>
      <c r="S303">
        <f>IF(Artefatos!$M$17="","",Artefatos!$M$17)</f>
        <v/>
      </c>
      <c r="T303" s="25">
        <f>G303*Refino!$D$29+Artefatos!$F$17</f>
        <v/>
      </c>
      <c r="U303" s="25">
        <f>T303*0.1125*FeeCraft/100</f>
        <v/>
      </c>
      <c r="V303" s="23">
        <f>IF(OR(Q303="",R303=""),"",Q303+R303+U303)</f>
        <v/>
      </c>
      <c r="W303" s="23">
        <f>IF(O303="","",O303*(1-TaxaVenda))</f>
        <v/>
      </c>
      <c r="X303" s="26">
        <f>IF(OR(V303="",W303=""),"",W303-V303)</f>
        <v/>
      </c>
      <c r="Y303" s="27">
        <f>IF(X303="","",X303/V303)</f>
        <v/>
      </c>
    </row>
    <row r="304">
      <c r="A304" t="inlineStr">
        <is>
          <t>Demônio (Demon)|Armadura|T4.0</t>
        </is>
      </c>
      <c r="B304" t="inlineStr">
        <is>
          <t>Demônio (Demon)</t>
        </is>
      </c>
      <c r="C304" t="inlineStr">
        <is>
          <t>Armadura</t>
        </is>
      </c>
      <c r="D304" t="inlineStr">
        <is>
          <t>T4.0</t>
        </is>
      </c>
      <c r="E304" t="n">
        <v>4</v>
      </c>
      <c r="F304" t="n">
        <v>0</v>
      </c>
      <c r="G304" t="n">
        <v>16</v>
      </c>
      <c r="H304" s="22" t="n"/>
      <c r="I304" s="22" t="n"/>
      <c r="J304" s="22" t="n"/>
      <c r="K304" s="22" t="n"/>
      <c r="L304" s="22" t="n"/>
      <c r="M304" s="22" t="n"/>
      <c r="N304" s="22" t="n"/>
      <c r="O304" s="23">
        <f>IF(COUNT(H304:N304)=0,"",MAX(H304:N304))</f>
        <v/>
      </c>
      <c r="P304" s="24">
        <f>IF(O304="","",INDEX($H$3:$N$3,MATCH(O304,H304:N304,0)))</f>
        <v/>
      </c>
      <c r="Q304" s="23">
        <f>IF(Refino!$L$5="","",G304*Refino!$L$5*(1-RetCraft))</f>
        <v/>
      </c>
      <c r="R304" s="25">
        <f>IF(Artefatos!$L$18="","",Artefatos!$L$18*(1+TaxaCompra))</f>
        <v/>
      </c>
      <c r="S304">
        <f>IF(Artefatos!$M$18="","",Artefatos!$M$18)</f>
        <v/>
      </c>
      <c r="T304" s="25">
        <f>G304*Refino!$D$5+Artefatos!$F$18</f>
        <v/>
      </c>
      <c r="U304" s="25">
        <f>T304*0.1125*FeeCraft/100</f>
        <v/>
      </c>
      <c r="V304" s="23">
        <f>IF(OR(Q304="",R304=""),"",Q304+R304+U304)</f>
        <v/>
      </c>
      <c r="W304" s="23">
        <f>IF(O304="","",O304*(1-TaxaVenda))</f>
        <v/>
      </c>
      <c r="X304" s="26">
        <f>IF(OR(V304="",W304=""),"",W304-V304)</f>
        <v/>
      </c>
      <c r="Y304" s="27">
        <f>IF(X304="","",X304/V304)</f>
        <v/>
      </c>
    </row>
    <row r="305">
      <c r="A305" t="inlineStr">
        <is>
          <t>Demônio (Demon)|Armadura|T4.1</t>
        </is>
      </c>
      <c r="B305" t="inlineStr">
        <is>
          <t>Demônio (Demon)</t>
        </is>
      </c>
      <c r="C305" t="inlineStr">
        <is>
          <t>Armadura</t>
        </is>
      </c>
      <c r="D305" t="inlineStr">
        <is>
          <t>T4.1</t>
        </is>
      </c>
      <c r="E305" t="n">
        <v>4</v>
      </c>
      <c r="F305" t="n">
        <v>1</v>
      </c>
      <c r="G305" t="n">
        <v>16</v>
      </c>
      <c r="H305" s="22" t="n"/>
      <c r="I305" s="22" t="n"/>
      <c r="J305" s="22" t="n"/>
      <c r="K305" s="22" t="n"/>
      <c r="L305" s="22" t="n"/>
      <c r="M305" s="22" t="n"/>
      <c r="N305" s="22" t="n"/>
      <c r="O305" s="23">
        <f>IF(COUNT(H305:N305)=0,"",MAX(H305:N305))</f>
        <v/>
      </c>
      <c r="P305" s="24">
        <f>IF(O305="","",INDEX($H$3:$N$3,MATCH(O305,H305:N305,0)))</f>
        <v/>
      </c>
      <c r="Q305" s="23">
        <f>IF(Refino!$L$6="","",G305*Refino!$L$6*(1-RetCraft))</f>
        <v/>
      </c>
      <c r="R305" s="25">
        <f>IF(Artefatos!$L$18="","",Artefatos!$L$18*(1+TaxaCompra))</f>
        <v/>
      </c>
      <c r="S305">
        <f>IF(Artefatos!$M$18="","",Artefatos!$M$18)</f>
        <v/>
      </c>
      <c r="T305" s="25">
        <f>G305*Refino!$D$6+Artefatos!$F$18</f>
        <v/>
      </c>
      <c r="U305" s="25">
        <f>T305*0.1125*FeeCraft/100</f>
        <v/>
      </c>
      <c r="V305" s="23">
        <f>IF(OR(Q305="",R305=""),"",Q305+R305+U305)</f>
        <v/>
      </c>
      <c r="W305" s="23">
        <f>IF(O305="","",O305*(1-TaxaVenda))</f>
        <v/>
      </c>
      <c r="X305" s="26">
        <f>IF(OR(V305="",W305=""),"",W305-V305)</f>
        <v/>
      </c>
      <c r="Y305" s="27">
        <f>IF(X305="","",X305/V305)</f>
        <v/>
      </c>
    </row>
    <row r="306">
      <c r="A306" t="inlineStr">
        <is>
          <t>Demônio (Demon)|Armadura|T4.2</t>
        </is>
      </c>
      <c r="B306" t="inlineStr">
        <is>
          <t>Demônio (Demon)</t>
        </is>
      </c>
      <c r="C306" t="inlineStr">
        <is>
          <t>Armadura</t>
        </is>
      </c>
      <c r="D306" t="inlineStr">
        <is>
          <t>T4.2</t>
        </is>
      </c>
      <c r="E306" t="n">
        <v>4</v>
      </c>
      <c r="F306" t="n">
        <v>2</v>
      </c>
      <c r="G306" t="n">
        <v>16</v>
      </c>
      <c r="H306" s="22" t="n"/>
      <c r="I306" s="22" t="n"/>
      <c r="J306" s="22" t="n"/>
      <c r="K306" s="22" t="n"/>
      <c r="L306" s="22" t="n"/>
      <c r="M306" s="22" t="n"/>
      <c r="N306" s="22" t="n"/>
      <c r="O306" s="23">
        <f>IF(COUNT(H306:N306)=0,"",MAX(H306:N306))</f>
        <v/>
      </c>
      <c r="P306" s="24">
        <f>IF(O306="","",INDEX($H$3:$N$3,MATCH(O306,H306:N306,0)))</f>
        <v/>
      </c>
      <c r="Q306" s="23">
        <f>IF(Refino!$L$7="","",G306*Refino!$L$7*(1-RetCraft))</f>
        <v/>
      </c>
      <c r="R306" s="25">
        <f>IF(Artefatos!$L$18="","",Artefatos!$L$18*(1+TaxaCompra))</f>
        <v/>
      </c>
      <c r="S306">
        <f>IF(Artefatos!$M$18="","",Artefatos!$M$18)</f>
        <v/>
      </c>
      <c r="T306" s="25">
        <f>G306*Refino!$D$7+Artefatos!$F$18</f>
        <v/>
      </c>
      <c r="U306" s="25">
        <f>T306*0.1125*FeeCraft/100</f>
        <v/>
      </c>
      <c r="V306" s="23">
        <f>IF(OR(Q306="",R306=""),"",Q306+R306+U306)</f>
        <v/>
      </c>
      <c r="W306" s="23">
        <f>IF(O306="","",O306*(1-TaxaVenda))</f>
        <v/>
      </c>
      <c r="X306" s="26">
        <f>IF(OR(V306="",W306=""),"",W306-V306)</f>
        <v/>
      </c>
      <c r="Y306" s="27">
        <f>IF(X306="","",X306/V306)</f>
        <v/>
      </c>
    </row>
    <row r="307">
      <c r="A307" t="inlineStr">
        <is>
          <t>Demônio (Demon)|Armadura|T4.3</t>
        </is>
      </c>
      <c r="B307" t="inlineStr">
        <is>
          <t>Demônio (Demon)</t>
        </is>
      </c>
      <c r="C307" t="inlineStr">
        <is>
          <t>Armadura</t>
        </is>
      </c>
      <c r="D307" t="inlineStr">
        <is>
          <t>T4.3</t>
        </is>
      </c>
      <c r="E307" t="n">
        <v>4</v>
      </c>
      <c r="F307" t="n">
        <v>3</v>
      </c>
      <c r="G307" t="n">
        <v>16</v>
      </c>
      <c r="H307" s="22" t="n"/>
      <c r="I307" s="22" t="n"/>
      <c r="J307" s="22" t="n"/>
      <c r="K307" s="22" t="n"/>
      <c r="L307" s="22" t="n"/>
      <c r="M307" s="22" t="n"/>
      <c r="N307" s="22" t="n"/>
      <c r="O307" s="23">
        <f>IF(COUNT(H307:N307)=0,"",MAX(H307:N307))</f>
        <v/>
      </c>
      <c r="P307" s="24">
        <f>IF(O307="","",INDEX($H$3:$N$3,MATCH(O307,H307:N307,0)))</f>
        <v/>
      </c>
      <c r="Q307" s="23">
        <f>IF(Refino!$L$8="","",G307*Refino!$L$8*(1-RetCraft))</f>
        <v/>
      </c>
      <c r="R307" s="25">
        <f>IF(Artefatos!$L$18="","",Artefatos!$L$18*(1+TaxaCompra))</f>
        <v/>
      </c>
      <c r="S307">
        <f>IF(Artefatos!$M$18="","",Artefatos!$M$18)</f>
        <v/>
      </c>
      <c r="T307" s="25">
        <f>G307*Refino!$D$8+Artefatos!$F$18</f>
        <v/>
      </c>
      <c r="U307" s="25">
        <f>T307*0.1125*FeeCraft/100</f>
        <v/>
      </c>
      <c r="V307" s="23">
        <f>IF(OR(Q307="",R307=""),"",Q307+R307+U307)</f>
        <v/>
      </c>
      <c r="W307" s="23">
        <f>IF(O307="","",O307*(1-TaxaVenda))</f>
        <v/>
      </c>
      <c r="X307" s="26">
        <f>IF(OR(V307="",W307=""),"",W307-V307)</f>
        <v/>
      </c>
      <c r="Y307" s="27">
        <f>IF(X307="","",X307/V307)</f>
        <v/>
      </c>
    </row>
    <row r="308">
      <c r="A308" t="inlineStr">
        <is>
          <t>Demônio (Demon)|Armadura|T4.4</t>
        </is>
      </c>
      <c r="B308" t="inlineStr">
        <is>
          <t>Demônio (Demon)</t>
        </is>
      </c>
      <c r="C308" t="inlineStr">
        <is>
          <t>Armadura</t>
        </is>
      </c>
      <c r="D308" t="inlineStr">
        <is>
          <t>T4.4</t>
        </is>
      </c>
      <c r="E308" t="n">
        <v>4</v>
      </c>
      <c r="F308" t="n">
        <v>4</v>
      </c>
      <c r="G308" t="n">
        <v>16</v>
      </c>
      <c r="H308" s="22" t="n"/>
      <c r="I308" s="22" t="n"/>
      <c r="J308" s="22" t="n"/>
      <c r="K308" s="22" t="n"/>
      <c r="L308" s="22" t="n"/>
      <c r="M308" s="22" t="n"/>
      <c r="N308" s="22" t="n"/>
      <c r="O308" s="23">
        <f>IF(COUNT(H308:N308)=0,"",MAX(H308:N308))</f>
        <v/>
      </c>
      <c r="P308" s="24">
        <f>IF(O308="","",INDEX($H$3:$N$3,MATCH(O308,H308:N308,0)))</f>
        <v/>
      </c>
      <c r="Q308" s="23">
        <f>IF(Refino!$L$9="","",G308*Refino!$L$9*(1-RetCraft))</f>
        <v/>
      </c>
      <c r="R308" s="25">
        <f>IF(Artefatos!$L$18="","",Artefatos!$L$18*(1+TaxaCompra))</f>
        <v/>
      </c>
      <c r="S308">
        <f>IF(Artefatos!$M$18="","",Artefatos!$M$18)</f>
        <v/>
      </c>
      <c r="T308" s="25">
        <f>G308*Refino!$D$9+Artefatos!$F$18</f>
        <v/>
      </c>
      <c r="U308" s="25">
        <f>T308*0.1125*FeeCraft/100</f>
        <v/>
      </c>
      <c r="V308" s="23">
        <f>IF(OR(Q308="",R308=""),"",Q308+R308+U308)</f>
        <v/>
      </c>
      <c r="W308" s="23">
        <f>IF(O308="","",O308*(1-TaxaVenda))</f>
        <v/>
      </c>
      <c r="X308" s="26">
        <f>IF(OR(V308="",W308=""),"",W308-V308)</f>
        <v/>
      </c>
      <c r="Y308" s="27">
        <f>IF(X308="","",X308/V308)</f>
        <v/>
      </c>
    </row>
    <row r="309">
      <c r="A309" t="inlineStr">
        <is>
          <t>Demônio (Demon)|Armadura|T5.0</t>
        </is>
      </c>
      <c r="B309" t="inlineStr">
        <is>
          <t>Demônio (Demon)</t>
        </is>
      </c>
      <c r="C309" t="inlineStr">
        <is>
          <t>Armadura</t>
        </is>
      </c>
      <c r="D309" t="inlineStr">
        <is>
          <t>T5.0</t>
        </is>
      </c>
      <c r="E309" t="n">
        <v>5</v>
      </c>
      <c r="F309" t="n">
        <v>0</v>
      </c>
      <c r="G309" t="n">
        <v>16</v>
      </c>
      <c r="H309" s="22" t="n"/>
      <c r="I309" s="22" t="n"/>
      <c r="J309" s="22" t="n"/>
      <c r="K309" s="22" t="n"/>
      <c r="L309" s="22" t="n"/>
      <c r="M309" s="22" t="n"/>
      <c r="N309" s="22" t="n"/>
      <c r="O309" s="23">
        <f>IF(COUNT(H309:N309)=0,"",MAX(H309:N309))</f>
        <v/>
      </c>
      <c r="P309" s="24">
        <f>IF(O309="","",INDEX($H$3:$N$3,MATCH(O309,H309:N309,0)))</f>
        <v/>
      </c>
      <c r="Q309" s="23">
        <f>IF(Refino!$L$10="","",G309*Refino!$L$10*(1-RetCraft))</f>
        <v/>
      </c>
      <c r="R309" s="25">
        <f>IF(Artefatos!$L$19="","",Artefatos!$L$19*(1+TaxaCompra))</f>
        <v/>
      </c>
      <c r="S309">
        <f>IF(Artefatos!$M$19="","",Artefatos!$M$19)</f>
        <v/>
      </c>
      <c r="T309" s="25">
        <f>G309*Refino!$D$10+Artefatos!$F$19</f>
        <v/>
      </c>
      <c r="U309" s="25">
        <f>T309*0.1125*FeeCraft/100</f>
        <v/>
      </c>
      <c r="V309" s="23">
        <f>IF(OR(Q309="",R309=""),"",Q309+R309+U309)</f>
        <v/>
      </c>
      <c r="W309" s="23">
        <f>IF(O309="","",O309*(1-TaxaVenda))</f>
        <v/>
      </c>
      <c r="X309" s="26">
        <f>IF(OR(V309="",W309=""),"",W309-V309)</f>
        <v/>
      </c>
      <c r="Y309" s="27">
        <f>IF(X309="","",X309/V309)</f>
        <v/>
      </c>
    </row>
    <row r="310">
      <c r="A310" t="inlineStr">
        <is>
          <t>Demônio (Demon)|Armadura|T5.1</t>
        </is>
      </c>
      <c r="B310" t="inlineStr">
        <is>
          <t>Demônio (Demon)</t>
        </is>
      </c>
      <c r="C310" t="inlineStr">
        <is>
          <t>Armadura</t>
        </is>
      </c>
      <c r="D310" t="inlineStr">
        <is>
          <t>T5.1</t>
        </is>
      </c>
      <c r="E310" t="n">
        <v>5</v>
      </c>
      <c r="F310" t="n">
        <v>1</v>
      </c>
      <c r="G310" t="n">
        <v>16</v>
      </c>
      <c r="H310" s="22" t="n"/>
      <c r="I310" s="22" t="n"/>
      <c r="J310" s="22" t="n"/>
      <c r="K310" s="22" t="n"/>
      <c r="L310" s="22" t="n"/>
      <c r="M310" s="22" t="n"/>
      <c r="N310" s="22" t="n"/>
      <c r="O310" s="23">
        <f>IF(COUNT(H310:N310)=0,"",MAX(H310:N310))</f>
        <v/>
      </c>
      <c r="P310" s="24">
        <f>IF(O310="","",INDEX($H$3:$N$3,MATCH(O310,H310:N310,0)))</f>
        <v/>
      </c>
      <c r="Q310" s="23">
        <f>IF(Refino!$L$11="","",G310*Refino!$L$11*(1-RetCraft))</f>
        <v/>
      </c>
      <c r="R310" s="25">
        <f>IF(Artefatos!$L$19="","",Artefatos!$L$19*(1+TaxaCompra))</f>
        <v/>
      </c>
      <c r="S310">
        <f>IF(Artefatos!$M$19="","",Artefatos!$M$19)</f>
        <v/>
      </c>
      <c r="T310" s="25">
        <f>G310*Refino!$D$11+Artefatos!$F$19</f>
        <v/>
      </c>
      <c r="U310" s="25">
        <f>T310*0.1125*FeeCraft/100</f>
        <v/>
      </c>
      <c r="V310" s="23">
        <f>IF(OR(Q310="",R310=""),"",Q310+R310+U310)</f>
        <v/>
      </c>
      <c r="W310" s="23">
        <f>IF(O310="","",O310*(1-TaxaVenda))</f>
        <v/>
      </c>
      <c r="X310" s="26">
        <f>IF(OR(V310="",W310=""),"",W310-V310)</f>
        <v/>
      </c>
      <c r="Y310" s="27">
        <f>IF(X310="","",X310/V310)</f>
        <v/>
      </c>
    </row>
    <row r="311">
      <c r="A311" t="inlineStr">
        <is>
          <t>Demônio (Demon)|Armadura|T5.2</t>
        </is>
      </c>
      <c r="B311" t="inlineStr">
        <is>
          <t>Demônio (Demon)</t>
        </is>
      </c>
      <c r="C311" t="inlineStr">
        <is>
          <t>Armadura</t>
        </is>
      </c>
      <c r="D311" t="inlineStr">
        <is>
          <t>T5.2</t>
        </is>
      </c>
      <c r="E311" t="n">
        <v>5</v>
      </c>
      <c r="F311" t="n">
        <v>2</v>
      </c>
      <c r="G311" t="n">
        <v>16</v>
      </c>
      <c r="H311" s="22" t="n"/>
      <c r="I311" s="22" t="n"/>
      <c r="J311" s="22" t="n"/>
      <c r="K311" s="22" t="n"/>
      <c r="L311" s="22" t="n"/>
      <c r="M311" s="22" t="n"/>
      <c r="N311" s="22" t="n"/>
      <c r="O311" s="23">
        <f>IF(COUNT(H311:N311)=0,"",MAX(H311:N311))</f>
        <v/>
      </c>
      <c r="P311" s="24">
        <f>IF(O311="","",INDEX($H$3:$N$3,MATCH(O311,H311:N311,0)))</f>
        <v/>
      </c>
      <c r="Q311" s="23">
        <f>IF(Refino!$L$12="","",G311*Refino!$L$12*(1-RetCraft))</f>
        <v/>
      </c>
      <c r="R311" s="25">
        <f>IF(Artefatos!$L$19="","",Artefatos!$L$19*(1+TaxaCompra))</f>
        <v/>
      </c>
      <c r="S311">
        <f>IF(Artefatos!$M$19="","",Artefatos!$M$19)</f>
        <v/>
      </c>
      <c r="T311" s="25">
        <f>G311*Refino!$D$12+Artefatos!$F$19</f>
        <v/>
      </c>
      <c r="U311" s="25">
        <f>T311*0.1125*FeeCraft/100</f>
        <v/>
      </c>
      <c r="V311" s="23">
        <f>IF(OR(Q311="",R311=""),"",Q311+R311+U311)</f>
        <v/>
      </c>
      <c r="W311" s="23">
        <f>IF(O311="","",O311*(1-TaxaVenda))</f>
        <v/>
      </c>
      <c r="X311" s="26">
        <f>IF(OR(V311="",W311=""),"",W311-V311)</f>
        <v/>
      </c>
      <c r="Y311" s="27">
        <f>IF(X311="","",X311/V311)</f>
        <v/>
      </c>
    </row>
    <row r="312">
      <c r="A312" t="inlineStr">
        <is>
          <t>Demônio (Demon)|Armadura|T5.3</t>
        </is>
      </c>
      <c r="B312" t="inlineStr">
        <is>
          <t>Demônio (Demon)</t>
        </is>
      </c>
      <c r="C312" t="inlineStr">
        <is>
          <t>Armadura</t>
        </is>
      </c>
      <c r="D312" t="inlineStr">
        <is>
          <t>T5.3</t>
        </is>
      </c>
      <c r="E312" t="n">
        <v>5</v>
      </c>
      <c r="F312" t="n">
        <v>3</v>
      </c>
      <c r="G312" t="n">
        <v>16</v>
      </c>
      <c r="H312" s="22" t="n"/>
      <c r="I312" s="22" t="n"/>
      <c r="J312" s="22" t="n"/>
      <c r="K312" s="22" t="n"/>
      <c r="L312" s="22" t="n"/>
      <c r="M312" s="22" t="n"/>
      <c r="N312" s="22" t="n"/>
      <c r="O312" s="23">
        <f>IF(COUNT(H312:N312)=0,"",MAX(H312:N312))</f>
        <v/>
      </c>
      <c r="P312" s="24">
        <f>IF(O312="","",INDEX($H$3:$N$3,MATCH(O312,H312:N312,0)))</f>
        <v/>
      </c>
      <c r="Q312" s="23">
        <f>IF(Refino!$L$13="","",G312*Refino!$L$13*(1-RetCraft))</f>
        <v/>
      </c>
      <c r="R312" s="25">
        <f>IF(Artefatos!$L$19="","",Artefatos!$L$19*(1+TaxaCompra))</f>
        <v/>
      </c>
      <c r="S312">
        <f>IF(Artefatos!$M$19="","",Artefatos!$M$19)</f>
        <v/>
      </c>
      <c r="T312" s="25">
        <f>G312*Refino!$D$13+Artefatos!$F$19</f>
        <v/>
      </c>
      <c r="U312" s="25">
        <f>T312*0.1125*FeeCraft/100</f>
        <v/>
      </c>
      <c r="V312" s="23">
        <f>IF(OR(Q312="",R312=""),"",Q312+R312+U312)</f>
        <v/>
      </c>
      <c r="W312" s="23">
        <f>IF(O312="","",O312*(1-TaxaVenda))</f>
        <v/>
      </c>
      <c r="X312" s="26">
        <f>IF(OR(V312="",W312=""),"",W312-V312)</f>
        <v/>
      </c>
      <c r="Y312" s="27">
        <f>IF(X312="","",X312/V312)</f>
        <v/>
      </c>
    </row>
    <row r="313">
      <c r="A313" t="inlineStr">
        <is>
          <t>Demônio (Demon)|Armadura|T5.4</t>
        </is>
      </c>
      <c r="B313" t="inlineStr">
        <is>
          <t>Demônio (Demon)</t>
        </is>
      </c>
      <c r="C313" t="inlineStr">
        <is>
          <t>Armadura</t>
        </is>
      </c>
      <c r="D313" t="inlineStr">
        <is>
          <t>T5.4</t>
        </is>
      </c>
      <c r="E313" t="n">
        <v>5</v>
      </c>
      <c r="F313" t="n">
        <v>4</v>
      </c>
      <c r="G313" t="n">
        <v>16</v>
      </c>
      <c r="H313" s="22" t="n"/>
      <c r="I313" s="22" t="n"/>
      <c r="J313" s="22" t="n"/>
      <c r="K313" s="22" t="n"/>
      <c r="L313" s="22" t="n"/>
      <c r="M313" s="22" t="n"/>
      <c r="N313" s="22" t="n"/>
      <c r="O313" s="23">
        <f>IF(COUNT(H313:N313)=0,"",MAX(H313:N313))</f>
        <v/>
      </c>
      <c r="P313" s="24">
        <f>IF(O313="","",INDEX($H$3:$N$3,MATCH(O313,H313:N313,0)))</f>
        <v/>
      </c>
      <c r="Q313" s="23">
        <f>IF(Refino!$L$14="","",G313*Refino!$L$14*(1-RetCraft))</f>
        <v/>
      </c>
      <c r="R313" s="25">
        <f>IF(Artefatos!$L$19="","",Artefatos!$L$19*(1+TaxaCompra))</f>
        <v/>
      </c>
      <c r="S313">
        <f>IF(Artefatos!$M$19="","",Artefatos!$M$19)</f>
        <v/>
      </c>
      <c r="T313" s="25">
        <f>G313*Refino!$D$14+Artefatos!$F$19</f>
        <v/>
      </c>
      <c r="U313" s="25">
        <f>T313*0.1125*FeeCraft/100</f>
        <v/>
      </c>
      <c r="V313" s="23">
        <f>IF(OR(Q313="",R313=""),"",Q313+R313+U313)</f>
        <v/>
      </c>
      <c r="W313" s="23">
        <f>IF(O313="","",O313*(1-TaxaVenda))</f>
        <v/>
      </c>
      <c r="X313" s="26">
        <f>IF(OR(V313="",W313=""),"",W313-V313)</f>
        <v/>
      </c>
      <c r="Y313" s="27">
        <f>IF(X313="","",X313/V313)</f>
        <v/>
      </c>
    </row>
    <row r="314">
      <c r="A314" t="inlineStr">
        <is>
          <t>Demônio (Demon)|Armadura|T6.0</t>
        </is>
      </c>
      <c r="B314" t="inlineStr">
        <is>
          <t>Demônio (Demon)</t>
        </is>
      </c>
      <c r="C314" t="inlineStr">
        <is>
          <t>Armadura</t>
        </is>
      </c>
      <c r="D314" t="inlineStr">
        <is>
          <t>T6.0</t>
        </is>
      </c>
      <c r="E314" t="n">
        <v>6</v>
      </c>
      <c r="F314" t="n">
        <v>0</v>
      </c>
      <c r="G314" t="n">
        <v>16</v>
      </c>
      <c r="H314" s="22" t="n"/>
      <c r="I314" s="22" t="n"/>
      <c r="J314" s="22" t="n"/>
      <c r="K314" s="22" t="n"/>
      <c r="L314" s="22" t="n"/>
      <c r="M314" s="22" t="n"/>
      <c r="N314" s="22" t="n"/>
      <c r="O314" s="23">
        <f>IF(COUNT(H314:N314)=0,"",MAX(H314:N314))</f>
        <v/>
      </c>
      <c r="P314" s="24">
        <f>IF(O314="","",INDEX($H$3:$N$3,MATCH(O314,H314:N314,0)))</f>
        <v/>
      </c>
      <c r="Q314" s="23">
        <f>IF(Refino!$L$15="","",G314*Refino!$L$15*(1-RetCraft))</f>
        <v/>
      </c>
      <c r="R314" s="25">
        <f>IF(Artefatos!$L$20="","",Artefatos!$L$20*(1+TaxaCompra))</f>
        <v/>
      </c>
      <c r="S314">
        <f>IF(Artefatos!$M$20="","",Artefatos!$M$20)</f>
        <v/>
      </c>
      <c r="T314" s="25">
        <f>G314*Refino!$D$15+Artefatos!$F$20</f>
        <v/>
      </c>
      <c r="U314" s="25">
        <f>T314*0.1125*FeeCraft/100</f>
        <v/>
      </c>
      <c r="V314" s="23">
        <f>IF(OR(Q314="",R314=""),"",Q314+R314+U314)</f>
        <v/>
      </c>
      <c r="W314" s="23">
        <f>IF(O314="","",O314*(1-TaxaVenda))</f>
        <v/>
      </c>
      <c r="X314" s="26">
        <f>IF(OR(V314="",W314=""),"",W314-V314)</f>
        <v/>
      </c>
      <c r="Y314" s="27">
        <f>IF(X314="","",X314/V314)</f>
        <v/>
      </c>
    </row>
    <row r="315">
      <c r="A315" t="inlineStr">
        <is>
          <t>Demônio (Demon)|Armadura|T6.1</t>
        </is>
      </c>
      <c r="B315" t="inlineStr">
        <is>
          <t>Demônio (Demon)</t>
        </is>
      </c>
      <c r="C315" t="inlineStr">
        <is>
          <t>Armadura</t>
        </is>
      </c>
      <c r="D315" t="inlineStr">
        <is>
          <t>T6.1</t>
        </is>
      </c>
      <c r="E315" t="n">
        <v>6</v>
      </c>
      <c r="F315" t="n">
        <v>1</v>
      </c>
      <c r="G315" t="n">
        <v>16</v>
      </c>
      <c r="H315" s="22" t="n"/>
      <c r="I315" s="22" t="n"/>
      <c r="J315" s="22" t="n"/>
      <c r="K315" s="22" t="n"/>
      <c r="L315" s="22" t="n"/>
      <c r="M315" s="22" t="n"/>
      <c r="N315" s="22" t="n"/>
      <c r="O315" s="23">
        <f>IF(COUNT(H315:N315)=0,"",MAX(H315:N315))</f>
        <v/>
      </c>
      <c r="P315" s="24">
        <f>IF(O315="","",INDEX($H$3:$N$3,MATCH(O315,H315:N315,0)))</f>
        <v/>
      </c>
      <c r="Q315" s="23">
        <f>IF(Refino!$L$16="","",G315*Refino!$L$16*(1-RetCraft))</f>
        <v/>
      </c>
      <c r="R315" s="25">
        <f>IF(Artefatos!$L$20="","",Artefatos!$L$20*(1+TaxaCompra))</f>
        <v/>
      </c>
      <c r="S315">
        <f>IF(Artefatos!$M$20="","",Artefatos!$M$20)</f>
        <v/>
      </c>
      <c r="T315" s="25">
        <f>G315*Refino!$D$16+Artefatos!$F$20</f>
        <v/>
      </c>
      <c r="U315" s="25">
        <f>T315*0.1125*FeeCraft/100</f>
        <v/>
      </c>
      <c r="V315" s="23">
        <f>IF(OR(Q315="",R315=""),"",Q315+R315+U315)</f>
        <v/>
      </c>
      <c r="W315" s="23">
        <f>IF(O315="","",O315*(1-TaxaVenda))</f>
        <v/>
      </c>
      <c r="X315" s="26">
        <f>IF(OR(V315="",W315=""),"",W315-V315)</f>
        <v/>
      </c>
      <c r="Y315" s="27">
        <f>IF(X315="","",X315/V315)</f>
        <v/>
      </c>
    </row>
    <row r="316">
      <c r="A316" t="inlineStr">
        <is>
          <t>Demônio (Demon)|Armadura|T6.2</t>
        </is>
      </c>
      <c r="B316" t="inlineStr">
        <is>
          <t>Demônio (Demon)</t>
        </is>
      </c>
      <c r="C316" t="inlineStr">
        <is>
          <t>Armadura</t>
        </is>
      </c>
      <c r="D316" t="inlineStr">
        <is>
          <t>T6.2</t>
        </is>
      </c>
      <c r="E316" t="n">
        <v>6</v>
      </c>
      <c r="F316" t="n">
        <v>2</v>
      </c>
      <c r="G316" t="n">
        <v>16</v>
      </c>
      <c r="H316" s="22" t="n"/>
      <c r="I316" s="22" t="n"/>
      <c r="J316" s="22" t="n"/>
      <c r="K316" s="22" t="n"/>
      <c r="L316" s="22" t="n"/>
      <c r="M316" s="22" t="n"/>
      <c r="N316" s="22" t="n"/>
      <c r="O316" s="23">
        <f>IF(COUNT(H316:N316)=0,"",MAX(H316:N316))</f>
        <v/>
      </c>
      <c r="P316" s="24">
        <f>IF(O316="","",INDEX($H$3:$N$3,MATCH(O316,H316:N316,0)))</f>
        <v/>
      </c>
      <c r="Q316" s="23">
        <f>IF(Refino!$L$17="","",G316*Refino!$L$17*(1-RetCraft))</f>
        <v/>
      </c>
      <c r="R316" s="25">
        <f>IF(Artefatos!$L$20="","",Artefatos!$L$20*(1+TaxaCompra))</f>
        <v/>
      </c>
      <c r="S316">
        <f>IF(Artefatos!$M$20="","",Artefatos!$M$20)</f>
        <v/>
      </c>
      <c r="T316" s="25">
        <f>G316*Refino!$D$17+Artefatos!$F$20</f>
        <v/>
      </c>
      <c r="U316" s="25">
        <f>T316*0.1125*FeeCraft/100</f>
        <v/>
      </c>
      <c r="V316" s="23">
        <f>IF(OR(Q316="",R316=""),"",Q316+R316+U316)</f>
        <v/>
      </c>
      <c r="W316" s="23">
        <f>IF(O316="","",O316*(1-TaxaVenda))</f>
        <v/>
      </c>
      <c r="X316" s="26">
        <f>IF(OR(V316="",W316=""),"",W316-V316)</f>
        <v/>
      </c>
      <c r="Y316" s="27">
        <f>IF(X316="","",X316/V316)</f>
        <v/>
      </c>
    </row>
    <row r="317">
      <c r="A317" t="inlineStr">
        <is>
          <t>Demônio (Demon)|Armadura|T6.3</t>
        </is>
      </c>
      <c r="B317" t="inlineStr">
        <is>
          <t>Demônio (Demon)</t>
        </is>
      </c>
      <c r="C317" t="inlineStr">
        <is>
          <t>Armadura</t>
        </is>
      </c>
      <c r="D317" t="inlineStr">
        <is>
          <t>T6.3</t>
        </is>
      </c>
      <c r="E317" t="n">
        <v>6</v>
      </c>
      <c r="F317" t="n">
        <v>3</v>
      </c>
      <c r="G317" t="n">
        <v>16</v>
      </c>
      <c r="H317" s="22" t="n"/>
      <c r="I317" s="22" t="n"/>
      <c r="J317" s="22" t="n"/>
      <c r="K317" s="22" t="n"/>
      <c r="L317" s="22" t="n"/>
      <c r="M317" s="22" t="n"/>
      <c r="N317" s="22" t="n"/>
      <c r="O317" s="23">
        <f>IF(COUNT(H317:N317)=0,"",MAX(H317:N317))</f>
        <v/>
      </c>
      <c r="P317" s="24">
        <f>IF(O317="","",INDEX($H$3:$N$3,MATCH(O317,H317:N317,0)))</f>
        <v/>
      </c>
      <c r="Q317" s="23">
        <f>IF(Refino!$L$18="","",G317*Refino!$L$18*(1-RetCraft))</f>
        <v/>
      </c>
      <c r="R317" s="25">
        <f>IF(Artefatos!$L$20="","",Artefatos!$L$20*(1+TaxaCompra))</f>
        <v/>
      </c>
      <c r="S317">
        <f>IF(Artefatos!$M$20="","",Artefatos!$M$20)</f>
        <v/>
      </c>
      <c r="T317" s="25">
        <f>G317*Refino!$D$18+Artefatos!$F$20</f>
        <v/>
      </c>
      <c r="U317" s="25">
        <f>T317*0.1125*FeeCraft/100</f>
        <v/>
      </c>
      <c r="V317" s="23">
        <f>IF(OR(Q317="",R317=""),"",Q317+R317+U317)</f>
        <v/>
      </c>
      <c r="W317" s="23">
        <f>IF(O317="","",O317*(1-TaxaVenda))</f>
        <v/>
      </c>
      <c r="X317" s="26">
        <f>IF(OR(V317="",W317=""),"",W317-V317)</f>
        <v/>
      </c>
      <c r="Y317" s="27">
        <f>IF(X317="","",X317/V317)</f>
        <v/>
      </c>
    </row>
    <row r="318">
      <c r="A318" t="inlineStr">
        <is>
          <t>Demônio (Demon)|Armadura|T6.4</t>
        </is>
      </c>
      <c r="B318" t="inlineStr">
        <is>
          <t>Demônio (Demon)</t>
        </is>
      </c>
      <c r="C318" t="inlineStr">
        <is>
          <t>Armadura</t>
        </is>
      </c>
      <c r="D318" t="inlineStr">
        <is>
          <t>T6.4</t>
        </is>
      </c>
      <c r="E318" t="n">
        <v>6</v>
      </c>
      <c r="F318" t="n">
        <v>4</v>
      </c>
      <c r="G318" t="n">
        <v>16</v>
      </c>
      <c r="H318" s="22" t="n"/>
      <c r="I318" s="22" t="n"/>
      <c r="J318" s="22" t="n"/>
      <c r="K318" s="22" t="n"/>
      <c r="L318" s="22" t="n"/>
      <c r="M318" s="22" t="n"/>
      <c r="N318" s="22" t="n"/>
      <c r="O318" s="23">
        <f>IF(COUNT(H318:N318)=0,"",MAX(H318:N318))</f>
        <v/>
      </c>
      <c r="P318" s="24">
        <f>IF(O318="","",INDEX($H$3:$N$3,MATCH(O318,H318:N318,0)))</f>
        <v/>
      </c>
      <c r="Q318" s="23">
        <f>IF(Refino!$L$19="","",G318*Refino!$L$19*(1-RetCraft))</f>
        <v/>
      </c>
      <c r="R318" s="25">
        <f>IF(Artefatos!$L$20="","",Artefatos!$L$20*(1+TaxaCompra))</f>
        <v/>
      </c>
      <c r="S318">
        <f>IF(Artefatos!$M$20="","",Artefatos!$M$20)</f>
        <v/>
      </c>
      <c r="T318" s="25">
        <f>G318*Refino!$D$19+Artefatos!$F$20</f>
        <v/>
      </c>
      <c r="U318" s="25">
        <f>T318*0.1125*FeeCraft/100</f>
        <v/>
      </c>
      <c r="V318" s="23">
        <f>IF(OR(Q318="",R318=""),"",Q318+R318+U318)</f>
        <v/>
      </c>
      <c r="W318" s="23">
        <f>IF(O318="","",O318*(1-TaxaVenda))</f>
        <v/>
      </c>
      <c r="X318" s="26">
        <f>IF(OR(V318="",W318=""),"",W318-V318)</f>
        <v/>
      </c>
      <c r="Y318" s="27">
        <f>IF(X318="","",X318/V318)</f>
        <v/>
      </c>
    </row>
    <row r="319">
      <c r="A319" t="inlineStr">
        <is>
          <t>Demônio (Demon)|Armadura|T7.0</t>
        </is>
      </c>
      <c r="B319" t="inlineStr">
        <is>
          <t>Demônio (Demon)</t>
        </is>
      </c>
      <c r="C319" t="inlineStr">
        <is>
          <t>Armadura</t>
        </is>
      </c>
      <c r="D319" t="inlineStr">
        <is>
          <t>T7.0</t>
        </is>
      </c>
      <c r="E319" t="n">
        <v>7</v>
      </c>
      <c r="F319" t="n">
        <v>0</v>
      </c>
      <c r="G319" t="n">
        <v>16</v>
      </c>
      <c r="H319" s="22" t="n"/>
      <c r="I319" s="22" t="n"/>
      <c r="J319" s="22" t="n"/>
      <c r="K319" s="22" t="n"/>
      <c r="L319" s="22" t="n"/>
      <c r="M319" s="22" t="n"/>
      <c r="N319" s="22" t="n"/>
      <c r="O319" s="23">
        <f>IF(COUNT(H319:N319)=0,"",MAX(H319:N319))</f>
        <v/>
      </c>
      <c r="P319" s="24">
        <f>IF(O319="","",INDEX($H$3:$N$3,MATCH(O319,H319:N319,0)))</f>
        <v/>
      </c>
      <c r="Q319" s="23">
        <f>IF(Refino!$L$20="","",G319*Refino!$L$20*(1-RetCraft))</f>
        <v/>
      </c>
      <c r="R319" s="25">
        <f>IF(Artefatos!$L$21="","",Artefatos!$L$21*(1+TaxaCompra))</f>
        <v/>
      </c>
      <c r="S319">
        <f>IF(Artefatos!$M$21="","",Artefatos!$M$21)</f>
        <v/>
      </c>
      <c r="T319" s="25">
        <f>G319*Refino!$D$20+Artefatos!$F$21</f>
        <v/>
      </c>
      <c r="U319" s="25">
        <f>T319*0.1125*FeeCraft/100</f>
        <v/>
      </c>
      <c r="V319" s="23">
        <f>IF(OR(Q319="",R319=""),"",Q319+R319+U319)</f>
        <v/>
      </c>
      <c r="W319" s="23">
        <f>IF(O319="","",O319*(1-TaxaVenda))</f>
        <v/>
      </c>
      <c r="X319" s="26">
        <f>IF(OR(V319="",W319=""),"",W319-V319)</f>
        <v/>
      </c>
      <c r="Y319" s="27">
        <f>IF(X319="","",X319/V319)</f>
        <v/>
      </c>
    </row>
    <row r="320">
      <c r="A320" t="inlineStr">
        <is>
          <t>Demônio (Demon)|Armadura|T7.1</t>
        </is>
      </c>
      <c r="B320" t="inlineStr">
        <is>
          <t>Demônio (Demon)</t>
        </is>
      </c>
      <c r="C320" t="inlineStr">
        <is>
          <t>Armadura</t>
        </is>
      </c>
      <c r="D320" t="inlineStr">
        <is>
          <t>T7.1</t>
        </is>
      </c>
      <c r="E320" t="n">
        <v>7</v>
      </c>
      <c r="F320" t="n">
        <v>1</v>
      </c>
      <c r="G320" t="n">
        <v>16</v>
      </c>
      <c r="H320" s="22" t="n"/>
      <c r="I320" s="22" t="n"/>
      <c r="J320" s="22" t="n"/>
      <c r="K320" s="22" t="n"/>
      <c r="L320" s="22" t="n"/>
      <c r="M320" s="22" t="n"/>
      <c r="N320" s="22" t="n"/>
      <c r="O320" s="23">
        <f>IF(COUNT(H320:N320)=0,"",MAX(H320:N320))</f>
        <v/>
      </c>
      <c r="P320" s="24">
        <f>IF(O320="","",INDEX($H$3:$N$3,MATCH(O320,H320:N320,0)))</f>
        <v/>
      </c>
      <c r="Q320" s="23">
        <f>IF(Refino!$L$21="","",G320*Refino!$L$21*(1-RetCraft))</f>
        <v/>
      </c>
      <c r="R320" s="25">
        <f>IF(Artefatos!$L$21="","",Artefatos!$L$21*(1+TaxaCompra))</f>
        <v/>
      </c>
      <c r="S320">
        <f>IF(Artefatos!$M$21="","",Artefatos!$M$21)</f>
        <v/>
      </c>
      <c r="T320" s="25">
        <f>G320*Refino!$D$21+Artefatos!$F$21</f>
        <v/>
      </c>
      <c r="U320" s="25">
        <f>T320*0.1125*FeeCraft/100</f>
        <v/>
      </c>
      <c r="V320" s="23">
        <f>IF(OR(Q320="",R320=""),"",Q320+R320+U320)</f>
        <v/>
      </c>
      <c r="W320" s="23">
        <f>IF(O320="","",O320*(1-TaxaVenda))</f>
        <v/>
      </c>
      <c r="X320" s="26">
        <f>IF(OR(V320="",W320=""),"",W320-V320)</f>
        <v/>
      </c>
      <c r="Y320" s="27">
        <f>IF(X320="","",X320/V320)</f>
        <v/>
      </c>
    </row>
    <row r="321">
      <c r="A321" t="inlineStr">
        <is>
          <t>Demônio (Demon)|Armadura|T7.2</t>
        </is>
      </c>
      <c r="B321" t="inlineStr">
        <is>
          <t>Demônio (Demon)</t>
        </is>
      </c>
      <c r="C321" t="inlineStr">
        <is>
          <t>Armadura</t>
        </is>
      </c>
      <c r="D321" t="inlineStr">
        <is>
          <t>T7.2</t>
        </is>
      </c>
      <c r="E321" t="n">
        <v>7</v>
      </c>
      <c r="F321" t="n">
        <v>2</v>
      </c>
      <c r="G321" t="n">
        <v>16</v>
      </c>
      <c r="H321" s="22" t="n"/>
      <c r="I321" s="22" t="n"/>
      <c r="J321" s="22" t="n"/>
      <c r="K321" s="22" t="n"/>
      <c r="L321" s="22" t="n"/>
      <c r="M321" s="22" t="n"/>
      <c r="N321" s="22" t="n"/>
      <c r="O321" s="23">
        <f>IF(COUNT(H321:N321)=0,"",MAX(H321:N321))</f>
        <v/>
      </c>
      <c r="P321" s="24">
        <f>IF(O321="","",INDEX($H$3:$N$3,MATCH(O321,H321:N321,0)))</f>
        <v/>
      </c>
      <c r="Q321" s="23">
        <f>IF(Refino!$L$22="","",G321*Refino!$L$22*(1-RetCraft))</f>
        <v/>
      </c>
      <c r="R321" s="25">
        <f>IF(Artefatos!$L$21="","",Artefatos!$L$21*(1+TaxaCompra))</f>
        <v/>
      </c>
      <c r="S321">
        <f>IF(Artefatos!$M$21="","",Artefatos!$M$21)</f>
        <v/>
      </c>
      <c r="T321" s="25">
        <f>G321*Refino!$D$22+Artefatos!$F$21</f>
        <v/>
      </c>
      <c r="U321" s="25">
        <f>T321*0.1125*FeeCraft/100</f>
        <v/>
      </c>
      <c r="V321" s="23">
        <f>IF(OR(Q321="",R321=""),"",Q321+R321+U321)</f>
        <v/>
      </c>
      <c r="W321" s="23">
        <f>IF(O321="","",O321*(1-TaxaVenda))</f>
        <v/>
      </c>
      <c r="X321" s="26">
        <f>IF(OR(V321="",W321=""),"",W321-V321)</f>
        <v/>
      </c>
      <c r="Y321" s="27">
        <f>IF(X321="","",X321/V321)</f>
        <v/>
      </c>
    </row>
    <row r="322">
      <c r="A322" t="inlineStr">
        <is>
          <t>Demônio (Demon)|Armadura|T7.3</t>
        </is>
      </c>
      <c r="B322" t="inlineStr">
        <is>
          <t>Demônio (Demon)</t>
        </is>
      </c>
      <c r="C322" t="inlineStr">
        <is>
          <t>Armadura</t>
        </is>
      </c>
      <c r="D322" t="inlineStr">
        <is>
          <t>T7.3</t>
        </is>
      </c>
      <c r="E322" t="n">
        <v>7</v>
      </c>
      <c r="F322" t="n">
        <v>3</v>
      </c>
      <c r="G322" t="n">
        <v>16</v>
      </c>
      <c r="H322" s="22" t="n"/>
      <c r="I322" s="22" t="n"/>
      <c r="J322" s="22" t="n"/>
      <c r="K322" s="22" t="n"/>
      <c r="L322" s="22" t="n"/>
      <c r="M322" s="22" t="n"/>
      <c r="N322" s="22" t="n"/>
      <c r="O322" s="23">
        <f>IF(COUNT(H322:N322)=0,"",MAX(H322:N322))</f>
        <v/>
      </c>
      <c r="P322" s="24">
        <f>IF(O322="","",INDEX($H$3:$N$3,MATCH(O322,H322:N322,0)))</f>
        <v/>
      </c>
      <c r="Q322" s="23">
        <f>IF(Refino!$L$23="","",G322*Refino!$L$23*(1-RetCraft))</f>
        <v/>
      </c>
      <c r="R322" s="25">
        <f>IF(Artefatos!$L$21="","",Artefatos!$L$21*(1+TaxaCompra))</f>
        <v/>
      </c>
      <c r="S322">
        <f>IF(Artefatos!$M$21="","",Artefatos!$M$21)</f>
        <v/>
      </c>
      <c r="T322" s="25">
        <f>G322*Refino!$D$23+Artefatos!$F$21</f>
        <v/>
      </c>
      <c r="U322" s="25">
        <f>T322*0.1125*FeeCraft/100</f>
        <v/>
      </c>
      <c r="V322" s="23">
        <f>IF(OR(Q322="",R322=""),"",Q322+R322+U322)</f>
        <v/>
      </c>
      <c r="W322" s="23">
        <f>IF(O322="","",O322*(1-TaxaVenda))</f>
        <v/>
      </c>
      <c r="X322" s="26">
        <f>IF(OR(V322="",W322=""),"",W322-V322)</f>
        <v/>
      </c>
      <c r="Y322" s="27">
        <f>IF(X322="","",X322/V322)</f>
        <v/>
      </c>
    </row>
    <row r="323">
      <c r="A323" t="inlineStr">
        <is>
          <t>Demônio (Demon)|Armadura|T7.4</t>
        </is>
      </c>
      <c r="B323" t="inlineStr">
        <is>
          <t>Demônio (Demon)</t>
        </is>
      </c>
      <c r="C323" t="inlineStr">
        <is>
          <t>Armadura</t>
        </is>
      </c>
      <c r="D323" t="inlineStr">
        <is>
          <t>T7.4</t>
        </is>
      </c>
      <c r="E323" t="n">
        <v>7</v>
      </c>
      <c r="F323" t="n">
        <v>4</v>
      </c>
      <c r="G323" t="n">
        <v>16</v>
      </c>
      <c r="H323" s="22" t="n"/>
      <c r="I323" s="22" t="n"/>
      <c r="J323" s="22" t="n"/>
      <c r="K323" s="22" t="n"/>
      <c r="L323" s="22" t="n"/>
      <c r="M323" s="22" t="n"/>
      <c r="N323" s="22" t="n"/>
      <c r="O323" s="23">
        <f>IF(COUNT(H323:N323)=0,"",MAX(H323:N323))</f>
        <v/>
      </c>
      <c r="P323" s="24">
        <f>IF(O323="","",INDEX($H$3:$N$3,MATCH(O323,H323:N323,0)))</f>
        <v/>
      </c>
      <c r="Q323" s="23">
        <f>IF(Refino!$L$24="","",G323*Refino!$L$24*(1-RetCraft))</f>
        <v/>
      </c>
      <c r="R323" s="25">
        <f>IF(Artefatos!$L$21="","",Artefatos!$L$21*(1+TaxaCompra))</f>
        <v/>
      </c>
      <c r="S323">
        <f>IF(Artefatos!$M$21="","",Artefatos!$M$21)</f>
        <v/>
      </c>
      <c r="T323" s="25">
        <f>G323*Refino!$D$24+Artefatos!$F$21</f>
        <v/>
      </c>
      <c r="U323" s="25">
        <f>T323*0.1125*FeeCraft/100</f>
        <v/>
      </c>
      <c r="V323" s="23">
        <f>IF(OR(Q323="",R323=""),"",Q323+R323+U323)</f>
        <v/>
      </c>
      <c r="W323" s="23">
        <f>IF(O323="","",O323*(1-TaxaVenda))</f>
        <v/>
      </c>
      <c r="X323" s="26">
        <f>IF(OR(V323="",W323=""),"",W323-V323)</f>
        <v/>
      </c>
      <c r="Y323" s="27">
        <f>IF(X323="","",X323/V323)</f>
        <v/>
      </c>
    </row>
    <row r="324">
      <c r="A324" t="inlineStr">
        <is>
          <t>Demônio (Demon)|Armadura|T8.0</t>
        </is>
      </c>
      <c r="B324" t="inlineStr">
        <is>
          <t>Demônio (Demon)</t>
        </is>
      </c>
      <c r="C324" t="inlineStr">
        <is>
          <t>Armadura</t>
        </is>
      </c>
      <c r="D324" t="inlineStr">
        <is>
          <t>T8.0</t>
        </is>
      </c>
      <c r="E324" t="n">
        <v>8</v>
      </c>
      <c r="F324" t="n">
        <v>0</v>
      </c>
      <c r="G324" t="n">
        <v>16</v>
      </c>
      <c r="H324" s="22" t="n"/>
      <c r="I324" s="22" t="n"/>
      <c r="J324" s="22" t="n"/>
      <c r="K324" s="22" t="n"/>
      <c r="L324" s="22" t="n"/>
      <c r="M324" s="22" t="n"/>
      <c r="N324" s="22" t="n"/>
      <c r="O324" s="23">
        <f>IF(COUNT(H324:N324)=0,"",MAX(H324:N324))</f>
        <v/>
      </c>
      <c r="P324" s="24">
        <f>IF(O324="","",INDEX($H$3:$N$3,MATCH(O324,H324:N324,0)))</f>
        <v/>
      </c>
      <c r="Q324" s="23">
        <f>IF(Refino!$L$25="","",G324*Refino!$L$25*(1-RetCraft))</f>
        <v/>
      </c>
      <c r="R324" s="25">
        <f>IF(Artefatos!$L$22="","",Artefatos!$L$22*(1+TaxaCompra))</f>
        <v/>
      </c>
      <c r="S324">
        <f>IF(Artefatos!$M$22="","",Artefatos!$M$22)</f>
        <v/>
      </c>
      <c r="T324" s="25">
        <f>G324*Refino!$D$25+Artefatos!$F$22</f>
        <v/>
      </c>
      <c r="U324" s="25">
        <f>T324*0.1125*FeeCraft/100</f>
        <v/>
      </c>
      <c r="V324" s="23">
        <f>IF(OR(Q324="",R324=""),"",Q324+R324+U324)</f>
        <v/>
      </c>
      <c r="W324" s="23">
        <f>IF(O324="","",O324*(1-TaxaVenda))</f>
        <v/>
      </c>
      <c r="X324" s="26">
        <f>IF(OR(V324="",W324=""),"",W324-V324)</f>
        <v/>
      </c>
      <c r="Y324" s="27">
        <f>IF(X324="","",X324/V324)</f>
        <v/>
      </c>
    </row>
    <row r="325">
      <c r="A325" t="inlineStr">
        <is>
          <t>Demônio (Demon)|Armadura|T8.1</t>
        </is>
      </c>
      <c r="B325" t="inlineStr">
        <is>
          <t>Demônio (Demon)</t>
        </is>
      </c>
      <c r="C325" t="inlineStr">
        <is>
          <t>Armadura</t>
        </is>
      </c>
      <c r="D325" t="inlineStr">
        <is>
          <t>T8.1</t>
        </is>
      </c>
      <c r="E325" t="n">
        <v>8</v>
      </c>
      <c r="F325" t="n">
        <v>1</v>
      </c>
      <c r="G325" t="n">
        <v>16</v>
      </c>
      <c r="H325" s="22" t="n"/>
      <c r="I325" s="22" t="n"/>
      <c r="J325" s="22" t="n"/>
      <c r="K325" s="22" t="n"/>
      <c r="L325" s="22" t="n"/>
      <c r="M325" s="22" t="n"/>
      <c r="N325" s="22" t="n"/>
      <c r="O325" s="23">
        <f>IF(COUNT(H325:N325)=0,"",MAX(H325:N325))</f>
        <v/>
      </c>
      <c r="P325" s="24">
        <f>IF(O325="","",INDEX($H$3:$N$3,MATCH(O325,H325:N325,0)))</f>
        <v/>
      </c>
      <c r="Q325" s="23">
        <f>IF(Refino!$L$26="","",G325*Refino!$L$26*(1-RetCraft))</f>
        <v/>
      </c>
      <c r="R325" s="25">
        <f>IF(Artefatos!$L$22="","",Artefatos!$L$22*(1+TaxaCompra))</f>
        <v/>
      </c>
      <c r="S325">
        <f>IF(Artefatos!$M$22="","",Artefatos!$M$22)</f>
        <v/>
      </c>
      <c r="T325" s="25">
        <f>G325*Refino!$D$26+Artefatos!$F$22</f>
        <v/>
      </c>
      <c r="U325" s="25">
        <f>T325*0.1125*FeeCraft/100</f>
        <v/>
      </c>
      <c r="V325" s="23">
        <f>IF(OR(Q325="",R325=""),"",Q325+R325+U325)</f>
        <v/>
      </c>
      <c r="W325" s="23">
        <f>IF(O325="","",O325*(1-TaxaVenda))</f>
        <v/>
      </c>
      <c r="X325" s="26">
        <f>IF(OR(V325="",W325=""),"",W325-V325)</f>
        <v/>
      </c>
      <c r="Y325" s="27">
        <f>IF(X325="","",X325/V325)</f>
        <v/>
      </c>
    </row>
    <row r="326">
      <c r="A326" t="inlineStr">
        <is>
          <t>Demônio (Demon)|Armadura|T8.2</t>
        </is>
      </c>
      <c r="B326" t="inlineStr">
        <is>
          <t>Demônio (Demon)</t>
        </is>
      </c>
      <c r="C326" t="inlineStr">
        <is>
          <t>Armadura</t>
        </is>
      </c>
      <c r="D326" t="inlineStr">
        <is>
          <t>T8.2</t>
        </is>
      </c>
      <c r="E326" t="n">
        <v>8</v>
      </c>
      <c r="F326" t="n">
        <v>2</v>
      </c>
      <c r="G326" t="n">
        <v>16</v>
      </c>
      <c r="H326" s="22" t="n"/>
      <c r="I326" s="22" t="n"/>
      <c r="J326" s="22" t="n"/>
      <c r="K326" s="22" t="n"/>
      <c r="L326" s="22" t="n"/>
      <c r="M326" s="22" t="n"/>
      <c r="N326" s="22" t="n"/>
      <c r="O326" s="23">
        <f>IF(COUNT(H326:N326)=0,"",MAX(H326:N326))</f>
        <v/>
      </c>
      <c r="P326" s="24">
        <f>IF(O326="","",INDEX($H$3:$N$3,MATCH(O326,H326:N326,0)))</f>
        <v/>
      </c>
      <c r="Q326" s="23">
        <f>IF(Refino!$L$27="","",G326*Refino!$L$27*(1-RetCraft))</f>
        <v/>
      </c>
      <c r="R326" s="25">
        <f>IF(Artefatos!$L$22="","",Artefatos!$L$22*(1+TaxaCompra))</f>
        <v/>
      </c>
      <c r="S326">
        <f>IF(Artefatos!$M$22="","",Artefatos!$M$22)</f>
        <v/>
      </c>
      <c r="T326" s="25">
        <f>G326*Refino!$D$27+Artefatos!$F$22</f>
        <v/>
      </c>
      <c r="U326" s="25">
        <f>T326*0.1125*FeeCraft/100</f>
        <v/>
      </c>
      <c r="V326" s="23">
        <f>IF(OR(Q326="",R326=""),"",Q326+R326+U326)</f>
        <v/>
      </c>
      <c r="W326" s="23">
        <f>IF(O326="","",O326*(1-TaxaVenda))</f>
        <v/>
      </c>
      <c r="X326" s="26">
        <f>IF(OR(V326="",W326=""),"",W326-V326)</f>
        <v/>
      </c>
      <c r="Y326" s="27">
        <f>IF(X326="","",X326/V326)</f>
        <v/>
      </c>
    </row>
    <row r="327">
      <c r="A327" t="inlineStr">
        <is>
          <t>Demônio (Demon)|Armadura|T8.3</t>
        </is>
      </c>
      <c r="B327" t="inlineStr">
        <is>
          <t>Demônio (Demon)</t>
        </is>
      </c>
      <c r="C327" t="inlineStr">
        <is>
          <t>Armadura</t>
        </is>
      </c>
      <c r="D327" t="inlineStr">
        <is>
          <t>T8.3</t>
        </is>
      </c>
      <c r="E327" t="n">
        <v>8</v>
      </c>
      <c r="F327" t="n">
        <v>3</v>
      </c>
      <c r="G327" t="n">
        <v>16</v>
      </c>
      <c r="H327" s="22" t="n"/>
      <c r="I327" s="22" t="n"/>
      <c r="J327" s="22" t="n"/>
      <c r="K327" s="22" t="n"/>
      <c r="L327" s="22" t="n"/>
      <c r="M327" s="22" t="n"/>
      <c r="N327" s="22" t="n"/>
      <c r="O327" s="23">
        <f>IF(COUNT(H327:N327)=0,"",MAX(H327:N327))</f>
        <v/>
      </c>
      <c r="P327" s="24">
        <f>IF(O327="","",INDEX($H$3:$N$3,MATCH(O327,H327:N327,0)))</f>
        <v/>
      </c>
      <c r="Q327" s="23">
        <f>IF(Refino!$L$28="","",G327*Refino!$L$28*(1-RetCraft))</f>
        <v/>
      </c>
      <c r="R327" s="25">
        <f>IF(Artefatos!$L$22="","",Artefatos!$L$22*(1+TaxaCompra))</f>
        <v/>
      </c>
      <c r="S327">
        <f>IF(Artefatos!$M$22="","",Artefatos!$M$22)</f>
        <v/>
      </c>
      <c r="T327" s="25">
        <f>G327*Refino!$D$28+Artefatos!$F$22</f>
        <v/>
      </c>
      <c r="U327" s="25">
        <f>T327*0.1125*FeeCraft/100</f>
        <v/>
      </c>
      <c r="V327" s="23">
        <f>IF(OR(Q327="",R327=""),"",Q327+R327+U327)</f>
        <v/>
      </c>
      <c r="W327" s="23">
        <f>IF(O327="","",O327*(1-TaxaVenda))</f>
        <v/>
      </c>
      <c r="X327" s="26">
        <f>IF(OR(V327="",W327=""),"",W327-V327)</f>
        <v/>
      </c>
      <c r="Y327" s="27">
        <f>IF(X327="","",X327/V327)</f>
        <v/>
      </c>
    </row>
    <row r="328">
      <c r="A328" t="inlineStr">
        <is>
          <t>Demônio (Demon)|Armadura|T8.4</t>
        </is>
      </c>
      <c r="B328" t="inlineStr">
        <is>
          <t>Demônio (Demon)</t>
        </is>
      </c>
      <c r="C328" t="inlineStr">
        <is>
          <t>Armadura</t>
        </is>
      </c>
      <c r="D328" t="inlineStr">
        <is>
          <t>T8.4</t>
        </is>
      </c>
      <c r="E328" t="n">
        <v>8</v>
      </c>
      <c r="F328" t="n">
        <v>4</v>
      </c>
      <c r="G328" t="n">
        <v>16</v>
      </c>
      <c r="H328" s="22" t="n"/>
      <c r="I328" s="22" t="n"/>
      <c r="J328" s="22" t="n"/>
      <c r="K328" s="22" t="n"/>
      <c r="L328" s="22" t="n"/>
      <c r="M328" s="22" t="n"/>
      <c r="N328" s="22" t="n"/>
      <c r="O328" s="23">
        <f>IF(COUNT(H328:N328)=0,"",MAX(H328:N328))</f>
        <v/>
      </c>
      <c r="P328" s="24">
        <f>IF(O328="","",INDEX($H$3:$N$3,MATCH(O328,H328:N328,0)))</f>
        <v/>
      </c>
      <c r="Q328" s="23">
        <f>IF(Refino!$L$29="","",G328*Refino!$L$29*(1-RetCraft))</f>
        <v/>
      </c>
      <c r="R328" s="25">
        <f>IF(Artefatos!$L$22="","",Artefatos!$L$22*(1+TaxaCompra))</f>
        <v/>
      </c>
      <c r="S328">
        <f>IF(Artefatos!$M$22="","",Artefatos!$M$22)</f>
        <v/>
      </c>
      <c r="T328" s="25">
        <f>G328*Refino!$D$29+Artefatos!$F$22</f>
        <v/>
      </c>
      <c r="U328" s="25">
        <f>T328*0.1125*FeeCraft/100</f>
        <v/>
      </c>
      <c r="V328" s="23">
        <f>IF(OR(Q328="",R328=""),"",Q328+R328+U328)</f>
        <v/>
      </c>
      <c r="W328" s="23">
        <f>IF(O328="","",O328*(1-TaxaVenda))</f>
        <v/>
      </c>
      <c r="X328" s="26">
        <f>IF(OR(V328="",W328=""),"",W328-V328)</f>
        <v/>
      </c>
      <c r="Y328" s="27">
        <f>IF(X328="","",X328/V328)</f>
        <v/>
      </c>
    </row>
    <row r="329">
      <c r="A329" t="inlineStr">
        <is>
          <t>Demônio (Demon)|Elmo|T4.0</t>
        </is>
      </c>
      <c r="B329" t="inlineStr">
        <is>
          <t>Demônio (Demon)</t>
        </is>
      </c>
      <c r="C329" t="inlineStr">
        <is>
          <t>Elmo</t>
        </is>
      </c>
      <c r="D329" t="inlineStr">
        <is>
          <t>T4.0</t>
        </is>
      </c>
      <c r="E329" t="n">
        <v>4</v>
      </c>
      <c r="F329" t="n">
        <v>0</v>
      </c>
      <c r="G329" t="n">
        <v>8</v>
      </c>
      <c r="H329" s="22" t="n"/>
      <c r="I329" s="22" t="n"/>
      <c r="J329" s="22" t="n"/>
      <c r="K329" s="22" t="n"/>
      <c r="L329" s="22" t="n"/>
      <c r="M329" s="22" t="n"/>
      <c r="N329" s="22" t="n"/>
      <c r="O329" s="23">
        <f>IF(COUNT(H329:N329)=0,"",MAX(H329:N329))</f>
        <v/>
      </c>
      <c r="P329" s="24">
        <f>IF(O329="","",INDEX($H$3:$N$3,MATCH(O329,H329:N329,0)))</f>
        <v/>
      </c>
      <c r="Q329" s="23">
        <f>IF(Refino!$L$5="","",G329*Refino!$L$5*(1-RetCraft))</f>
        <v/>
      </c>
      <c r="R329" s="25">
        <f>IF(Artefatos!$L$23="","",Artefatos!$L$23*(1+TaxaCompra))</f>
        <v/>
      </c>
      <c r="S329">
        <f>IF(Artefatos!$M$23="","",Artefatos!$M$23)</f>
        <v/>
      </c>
      <c r="T329" s="25">
        <f>G329*Refino!$D$5+Artefatos!$F$23</f>
        <v/>
      </c>
      <c r="U329" s="25">
        <f>T329*0.1125*FeeCraft/100</f>
        <v/>
      </c>
      <c r="V329" s="23">
        <f>IF(OR(Q329="",R329=""),"",Q329+R329+U329)</f>
        <v/>
      </c>
      <c r="W329" s="23">
        <f>IF(O329="","",O329*(1-TaxaVenda))</f>
        <v/>
      </c>
      <c r="X329" s="26">
        <f>IF(OR(V329="",W329=""),"",W329-V329)</f>
        <v/>
      </c>
      <c r="Y329" s="27">
        <f>IF(X329="","",X329/V329)</f>
        <v/>
      </c>
    </row>
    <row r="330">
      <c r="A330" t="inlineStr">
        <is>
          <t>Demônio (Demon)|Elmo|T4.1</t>
        </is>
      </c>
      <c r="B330" t="inlineStr">
        <is>
          <t>Demônio (Demon)</t>
        </is>
      </c>
      <c r="C330" t="inlineStr">
        <is>
          <t>Elmo</t>
        </is>
      </c>
      <c r="D330" t="inlineStr">
        <is>
          <t>T4.1</t>
        </is>
      </c>
      <c r="E330" t="n">
        <v>4</v>
      </c>
      <c r="F330" t="n">
        <v>1</v>
      </c>
      <c r="G330" t="n">
        <v>8</v>
      </c>
      <c r="H330" s="22" t="n"/>
      <c r="I330" s="22" t="n"/>
      <c r="J330" s="22" t="n"/>
      <c r="K330" s="22" t="n"/>
      <c r="L330" s="22" t="n"/>
      <c r="M330" s="22" t="n"/>
      <c r="N330" s="22" t="n"/>
      <c r="O330" s="23">
        <f>IF(COUNT(H330:N330)=0,"",MAX(H330:N330))</f>
        <v/>
      </c>
      <c r="P330" s="24">
        <f>IF(O330="","",INDEX($H$3:$N$3,MATCH(O330,H330:N330,0)))</f>
        <v/>
      </c>
      <c r="Q330" s="23">
        <f>IF(Refino!$L$6="","",G330*Refino!$L$6*(1-RetCraft))</f>
        <v/>
      </c>
      <c r="R330" s="25">
        <f>IF(Artefatos!$L$23="","",Artefatos!$L$23*(1+TaxaCompra))</f>
        <v/>
      </c>
      <c r="S330">
        <f>IF(Artefatos!$M$23="","",Artefatos!$M$23)</f>
        <v/>
      </c>
      <c r="T330" s="25">
        <f>G330*Refino!$D$6+Artefatos!$F$23</f>
        <v/>
      </c>
      <c r="U330" s="25">
        <f>T330*0.1125*FeeCraft/100</f>
        <v/>
      </c>
      <c r="V330" s="23">
        <f>IF(OR(Q330="",R330=""),"",Q330+R330+U330)</f>
        <v/>
      </c>
      <c r="W330" s="23">
        <f>IF(O330="","",O330*(1-TaxaVenda))</f>
        <v/>
      </c>
      <c r="X330" s="26">
        <f>IF(OR(V330="",W330=""),"",W330-V330)</f>
        <v/>
      </c>
      <c r="Y330" s="27">
        <f>IF(X330="","",X330/V330)</f>
        <v/>
      </c>
    </row>
    <row r="331">
      <c r="A331" t="inlineStr">
        <is>
          <t>Demônio (Demon)|Elmo|T4.2</t>
        </is>
      </c>
      <c r="B331" t="inlineStr">
        <is>
          <t>Demônio (Demon)</t>
        </is>
      </c>
      <c r="C331" t="inlineStr">
        <is>
          <t>Elmo</t>
        </is>
      </c>
      <c r="D331" t="inlineStr">
        <is>
          <t>T4.2</t>
        </is>
      </c>
      <c r="E331" t="n">
        <v>4</v>
      </c>
      <c r="F331" t="n">
        <v>2</v>
      </c>
      <c r="G331" t="n">
        <v>8</v>
      </c>
      <c r="H331" s="22" t="n"/>
      <c r="I331" s="22" t="n"/>
      <c r="J331" s="22" t="n"/>
      <c r="K331" s="22" t="n"/>
      <c r="L331" s="22" t="n"/>
      <c r="M331" s="22" t="n"/>
      <c r="N331" s="22" t="n"/>
      <c r="O331" s="23">
        <f>IF(COUNT(H331:N331)=0,"",MAX(H331:N331))</f>
        <v/>
      </c>
      <c r="P331" s="24">
        <f>IF(O331="","",INDEX($H$3:$N$3,MATCH(O331,H331:N331,0)))</f>
        <v/>
      </c>
      <c r="Q331" s="23">
        <f>IF(Refino!$L$7="","",G331*Refino!$L$7*(1-RetCraft))</f>
        <v/>
      </c>
      <c r="R331" s="25">
        <f>IF(Artefatos!$L$23="","",Artefatos!$L$23*(1+TaxaCompra))</f>
        <v/>
      </c>
      <c r="S331">
        <f>IF(Artefatos!$M$23="","",Artefatos!$M$23)</f>
        <v/>
      </c>
      <c r="T331" s="25">
        <f>G331*Refino!$D$7+Artefatos!$F$23</f>
        <v/>
      </c>
      <c r="U331" s="25">
        <f>T331*0.1125*FeeCraft/100</f>
        <v/>
      </c>
      <c r="V331" s="23">
        <f>IF(OR(Q331="",R331=""),"",Q331+R331+U331)</f>
        <v/>
      </c>
      <c r="W331" s="23">
        <f>IF(O331="","",O331*(1-TaxaVenda))</f>
        <v/>
      </c>
      <c r="X331" s="26">
        <f>IF(OR(V331="",W331=""),"",W331-V331)</f>
        <v/>
      </c>
      <c r="Y331" s="27">
        <f>IF(X331="","",X331/V331)</f>
        <v/>
      </c>
    </row>
    <row r="332">
      <c r="A332" t="inlineStr">
        <is>
          <t>Demônio (Demon)|Elmo|T4.3</t>
        </is>
      </c>
      <c r="B332" t="inlineStr">
        <is>
          <t>Demônio (Demon)</t>
        </is>
      </c>
      <c r="C332" t="inlineStr">
        <is>
          <t>Elmo</t>
        </is>
      </c>
      <c r="D332" t="inlineStr">
        <is>
          <t>T4.3</t>
        </is>
      </c>
      <c r="E332" t="n">
        <v>4</v>
      </c>
      <c r="F332" t="n">
        <v>3</v>
      </c>
      <c r="G332" t="n">
        <v>8</v>
      </c>
      <c r="H332" s="22" t="n"/>
      <c r="I332" s="22" t="n"/>
      <c r="J332" s="22" t="n"/>
      <c r="K332" s="22" t="n"/>
      <c r="L332" s="22" t="n"/>
      <c r="M332" s="22" t="n"/>
      <c r="N332" s="22" t="n"/>
      <c r="O332" s="23">
        <f>IF(COUNT(H332:N332)=0,"",MAX(H332:N332))</f>
        <v/>
      </c>
      <c r="P332" s="24">
        <f>IF(O332="","",INDEX($H$3:$N$3,MATCH(O332,H332:N332,0)))</f>
        <v/>
      </c>
      <c r="Q332" s="23">
        <f>IF(Refino!$L$8="","",G332*Refino!$L$8*(1-RetCraft))</f>
        <v/>
      </c>
      <c r="R332" s="25">
        <f>IF(Artefatos!$L$23="","",Artefatos!$L$23*(1+TaxaCompra))</f>
        <v/>
      </c>
      <c r="S332">
        <f>IF(Artefatos!$M$23="","",Artefatos!$M$23)</f>
        <v/>
      </c>
      <c r="T332" s="25">
        <f>G332*Refino!$D$8+Artefatos!$F$23</f>
        <v/>
      </c>
      <c r="U332" s="25">
        <f>T332*0.1125*FeeCraft/100</f>
        <v/>
      </c>
      <c r="V332" s="23">
        <f>IF(OR(Q332="",R332=""),"",Q332+R332+U332)</f>
        <v/>
      </c>
      <c r="W332" s="23">
        <f>IF(O332="","",O332*(1-TaxaVenda))</f>
        <v/>
      </c>
      <c r="X332" s="26">
        <f>IF(OR(V332="",W332=""),"",W332-V332)</f>
        <v/>
      </c>
      <c r="Y332" s="27">
        <f>IF(X332="","",X332/V332)</f>
        <v/>
      </c>
    </row>
    <row r="333">
      <c r="A333" t="inlineStr">
        <is>
          <t>Demônio (Demon)|Elmo|T4.4</t>
        </is>
      </c>
      <c r="B333" t="inlineStr">
        <is>
          <t>Demônio (Demon)</t>
        </is>
      </c>
      <c r="C333" t="inlineStr">
        <is>
          <t>Elmo</t>
        </is>
      </c>
      <c r="D333" t="inlineStr">
        <is>
          <t>T4.4</t>
        </is>
      </c>
      <c r="E333" t="n">
        <v>4</v>
      </c>
      <c r="F333" t="n">
        <v>4</v>
      </c>
      <c r="G333" t="n">
        <v>8</v>
      </c>
      <c r="H333" s="22" t="n"/>
      <c r="I333" s="22" t="n"/>
      <c r="J333" s="22" t="n"/>
      <c r="K333" s="22" t="n"/>
      <c r="L333" s="22" t="n"/>
      <c r="M333" s="22" t="n"/>
      <c r="N333" s="22" t="n"/>
      <c r="O333" s="23">
        <f>IF(COUNT(H333:N333)=0,"",MAX(H333:N333))</f>
        <v/>
      </c>
      <c r="P333" s="24">
        <f>IF(O333="","",INDEX($H$3:$N$3,MATCH(O333,H333:N333,0)))</f>
        <v/>
      </c>
      <c r="Q333" s="23">
        <f>IF(Refino!$L$9="","",G333*Refino!$L$9*(1-RetCraft))</f>
        <v/>
      </c>
      <c r="R333" s="25">
        <f>IF(Artefatos!$L$23="","",Artefatos!$L$23*(1+TaxaCompra))</f>
        <v/>
      </c>
      <c r="S333">
        <f>IF(Artefatos!$M$23="","",Artefatos!$M$23)</f>
        <v/>
      </c>
      <c r="T333" s="25">
        <f>G333*Refino!$D$9+Artefatos!$F$23</f>
        <v/>
      </c>
      <c r="U333" s="25">
        <f>T333*0.1125*FeeCraft/100</f>
        <v/>
      </c>
      <c r="V333" s="23">
        <f>IF(OR(Q333="",R333=""),"",Q333+R333+U333)</f>
        <v/>
      </c>
      <c r="W333" s="23">
        <f>IF(O333="","",O333*(1-TaxaVenda))</f>
        <v/>
      </c>
      <c r="X333" s="26">
        <f>IF(OR(V333="",W333=""),"",W333-V333)</f>
        <v/>
      </c>
      <c r="Y333" s="27">
        <f>IF(X333="","",X333/V333)</f>
        <v/>
      </c>
    </row>
    <row r="334">
      <c r="A334" t="inlineStr">
        <is>
          <t>Demônio (Demon)|Elmo|T5.0</t>
        </is>
      </c>
      <c r="B334" t="inlineStr">
        <is>
          <t>Demônio (Demon)</t>
        </is>
      </c>
      <c r="C334" t="inlineStr">
        <is>
          <t>Elmo</t>
        </is>
      </c>
      <c r="D334" t="inlineStr">
        <is>
          <t>T5.0</t>
        </is>
      </c>
      <c r="E334" t="n">
        <v>5</v>
      </c>
      <c r="F334" t="n">
        <v>0</v>
      </c>
      <c r="G334" t="n">
        <v>8</v>
      </c>
      <c r="H334" s="22" t="n"/>
      <c r="I334" s="22" t="n"/>
      <c r="J334" s="22" t="n"/>
      <c r="K334" s="22" t="n"/>
      <c r="L334" s="22" t="n"/>
      <c r="M334" s="22" t="n"/>
      <c r="N334" s="22" t="n"/>
      <c r="O334" s="23">
        <f>IF(COUNT(H334:N334)=0,"",MAX(H334:N334))</f>
        <v/>
      </c>
      <c r="P334" s="24">
        <f>IF(O334="","",INDEX($H$3:$N$3,MATCH(O334,H334:N334,0)))</f>
        <v/>
      </c>
      <c r="Q334" s="23">
        <f>IF(Refino!$L$10="","",G334*Refino!$L$10*(1-RetCraft))</f>
        <v/>
      </c>
      <c r="R334" s="25">
        <f>IF(Artefatos!$L$24="","",Artefatos!$L$24*(1+TaxaCompra))</f>
        <v/>
      </c>
      <c r="S334">
        <f>IF(Artefatos!$M$24="","",Artefatos!$M$24)</f>
        <v/>
      </c>
      <c r="T334" s="25">
        <f>G334*Refino!$D$10+Artefatos!$F$24</f>
        <v/>
      </c>
      <c r="U334" s="25">
        <f>T334*0.1125*FeeCraft/100</f>
        <v/>
      </c>
      <c r="V334" s="23">
        <f>IF(OR(Q334="",R334=""),"",Q334+R334+U334)</f>
        <v/>
      </c>
      <c r="W334" s="23">
        <f>IF(O334="","",O334*(1-TaxaVenda))</f>
        <v/>
      </c>
      <c r="X334" s="26">
        <f>IF(OR(V334="",W334=""),"",W334-V334)</f>
        <v/>
      </c>
      <c r="Y334" s="27">
        <f>IF(X334="","",X334/V334)</f>
        <v/>
      </c>
    </row>
    <row r="335">
      <c r="A335" t="inlineStr">
        <is>
          <t>Demônio (Demon)|Elmo|T5.1</t>
        </is>
      </c>
      <c r="B335" t="inlineStr">
        <is>
          <t>Demônio (Demon)</t>
        </is>
      </c>
      <c r="C335" t="inlineStr">
        <is>
          <t>Elmo</t>
        </is>
      </c>
      <c r="D335" t="inlineStr">
        <is>
          <t>T5.1</t>
        </is>
      </c>
      <c r="E335" t="n">
        <v>5</v>
      </c>
      <c r="F335" t="n">
        <v>1</v>
      </c>
      <c r="G335" t="n">
        <v>8</v>
      </c>
      <c r="H335" s="22" t="n"/>
      <c r="I335" s="22" t="n"/>
      <c r="J335" s="22" t="n"/>
      <c r="K335" s="22" t="n"/>
      <c r="L335" s="22" t="n"/>
      <c r="M335" s="22" t="n"/>
      <c r="N335" s="22" t="n"/>
      <c r="O335" s="23">
        <f>IF(COUNT(H335:N335)=0,"",MAX(H335:N335))</f>
        <v/>
      </c>
      <c r="P335" s="24">
        <f>IF(O335="","",INDEX($H$3:$N$3,MATCH(O335,H335:N335,0)))</f>
        <v/>
      </c>
      <c r="Q335" s="23">
        <f>IF(Refino!$L$11="","",G335*Refino!$L$11*(1-RetCraft))</f>
        <v/>
      </c>
      <c r="R335" s="25">
        <f>IF(Artefatos!$L$24="","",Artefatos!$L$24*(1+TaxaCompra))</f>
        <v/>
      </c>
      <c r="S335">
        <f>IF(Artefatos!$M$24="","",Artefatos!$M$24)</f>
        <v/>
      </c>
      <c r="T335" s="25">
        <f>G335*Refino!$D$11+Artefatos!$F$24</f>
        <v/>
      </c>
      <c r="U335" s="25">
        <f>T335*0.1125*FeeCraft/100</f>
        <v/>
      </c>
      <c r="V335" s="23">
        <f>IF(OR(Q335="",R335=""),"",Q335+R335+U335)</f>
        <v/>
      </c>
      <c r="W335" s="23">
        <f>IF(O335="","",O335*(1-TaxaVenda))</f>
        <v/>
      </c>
      <c r="X335" s="26">
        <f>IF(OR(V335="",W335=""),"",W335-V335)</f>
        <v/>
      </c>
      <c r="Y335" s="27">
        <f>IF(X335="","",X335/V335)</f>
        <v/>
      </c>
    </row>
    <row r="336">
      <c r="A336" t="inlineStr">
        <is>
          <t>Demônio (Demon)|Elmo|T5.2</t>
        </is>
      </c>
      <c r="B336" t="inlineStr">
        <is>
          <t>Demônio (Demon)</t>
        </is>
      </c>
      <c r="C336" t="inlineStr">
        <is>
          <t>Elmo</t>
        </is>
      </c>
      <c r="D336" t="inlineStr">
        <is>
          <t>T5.2</t>
        </is>
      </c>
      <c r="E336" t="n">
        <v>5</v>
      </c>
      <c r="F336" t="n">
        <v>2</v>
      </c>
      <c r="G336" t="n">
        <v>8</v>
      </c>
      <c r="H336" s="22" t="n"/>
      <c r="I336" s="22" t="n"/>
      <c r="J336" s="22" t="n"/>
      <c r="K336" s="22" t="n"/>
      <c r="L336" s="22" t="n"/>
      <c r="M336" s="22" t="n"/>
      <c r="N336" s="22" t="n"/>
      <c r="O336" s="23">
        <f>IF(COUNT(H336:N336)=0,"",MAX(H336:N336))</f>
        <v/>
      </c>
      <c r="P336" s="24">
        <f>IF(O336="","",INDEX($H$3:$N$3,MATCH(O336,H336:N336,0)))</f>
        <v/>
      </c>
      <c r="Q336" s="23">
        <f>IF(Refino!$L$12="","",G336*Refino!$L$12*(1-RetCraft))</f>
        <v/>
      </c>
      <c r="R336" s="25">
        <f>IF(Artefatos!$L$24="","",Artefatos!$L$24*(1+TaxaCompra))</f>
        <v/>
      </c>
      <c r="S336">
        <f>IF(Artefatos!$M$24="","",Artefatos!$M$24)</f>
        <v/>
      </c>
      <c r="T336" s="25">
        <f>G336*Refino!$D$12+Artefatos!$F$24</f>
        <v/>
      </c>
      <c r="U336" s="25">
        <f>T336*0.1125*FeeCraft/100</f>
        <v/>
      </c>
      <c r="V336" s="23">
        <f>IF(OR(Q336="",R336=""),"",Q336+R336+U336)</f>
        <v/>
      </c>
      <c r="W336" s="23">
        <f>IF(O336="","",O336*(1-TaxaVenda))</f>
        <v/>
      </c>
      <c r="X336" s="26">
        <f>IF(OR(V336="",W336=""),"",W336-V336)</f>
        <v/>
      </c>
      <c r="Y336" s="27">
        <f>IF(X336="","",X336/V336)</f>
        <v/>
      </c>
    </row>
    <row r="337">
      <c r="A337" t="inlineStr">
        <is>
          <t>Demônio (Demon)|Elmo|T5.3</t>
        </is>
      </c>
      <c r="B337" t="inlineStr">
        <is>
          <t>Demônio (Demon)</t>
        </is>
      </c>
      <c r="C337" t="inlineStr">
        <is>
          <t>Elmo</t>
        </is>
      </c>
      <c r="D337" t="inlineStr">
        <is>
          <t>T5.3</t>
        </is>
      </c>
      <c r="E337" t="n">
        <v>5</v>
      </c>
      <c r="F337" t="n">
        <v>3</v>
      </c>
      <c r="G337" t="n">
        <v>8</v>
      </c>
      <c r="H337" s="22" t="n"/>
      <c r="I337" s="22" t="n"/>
      <c r="J337" s="22" t="n"/>
      <c r="K337" s="22" t="n"/>
      <c r="L337" s="22" t="n"/>
      <c r="M337" s="22" t="n"/>
      <c r="N337" s="22" t="n"/>
      <c r="O337" s="23">
        <f>IF(COUNT(H337:N337)=0,"",MAX(H337:N337))</f>
        <v/>
      </c>
      <c r="P337" s="24">
        <f>IF(O337="","",INDEX($H$3:$N$3,MATCH(O337,H337:N337,0)))</f>
        <v/>
      </c>
      <c r="Q337" s="23">
        <f>IF(Refino!$L$13="","",G337*Refino!$L$13*(1-RetCraft))</f>
        <v/>
      </c>
      <c r="R337" s="25">
        <f>IF(Artefatos!$L$24="","",Artefatos!$L$24*(1+TaxaCompra))</f>
        <v/>
      </c>
      <c r="S337">
        <f>IF(Artefatos!$M$24="","",Artefatos!$M$24)</f>
        <v/>
      </c>
      <c r="T337" s="25">
        <f>G337*Refino!$D$13+Artefatos!$F$24</f>
        <v/>
      </c>
      <c r="U337" s="25">
        <f>T337*0.1125*FeeCraft/100</f>
        <v/>
      </c>
      <c r="V337" s="23">
        <f>IF(OR(Q337="",R337=""),"",Q337+R337+U337)</f>
        <v/>
      </c>
      <c r="W337" s="23">
        <f>IF(O337="","",O337*(1-TaxaVenda))</f>
        <v/>
      </c>
      <c r="X337" s="26">
        <f>IF(OR(V337="",W337=""),"",W337-V337)</f>
        <v/>
      </c>
      <c r="Y337" s="27">
        <f>IF(X337="","",X337/V337)</f>
        <v/>
      </c>
    </row>
    <row r="338">
      <c r="A338" t="inlineStr">
        <is>
          <t>Demônio (Demon)|Elmo|T5.4</t>
        </is>
      </c>
      <c r="B338" t="inlineStr">
        <is>
          <t>Demônio (Demon)</t>
        </is>
      </c>
      <c r="C338" t="inlineStr">
        <is>
          <t>Elmo</t>
        </is>
      </c>
      <c r="D338" t="inlineStr">
        <is>
          <t>T5.4</t>
        </is>
      </c>
      <c r="E338" t="n">
        <v>5</v>
      </c>
      <c r="F338" t="n">
        <v>4</v>
      </c>
      <c r="G338" t="n">
        <v>8</v>
      </c>
      <c r="H338" s="22" t="n"/>
      <c r="I338" s="22" t="n"/>
      <c r="J338" s="22" t="n"/>
      <c r="K338" s="22" t="n"/>
      <c r="L338" s="22" t="n"/>
      <c r="M338" s="22" t="n"/>
      <c r="N338" s="22" t="n"/>
      <c r="O338" s="23">
        <f>IF(COUNT(H338:N338)=0,"",MAX(H338:N338))</f>
        <v/>
      </c>
      <c r="P338" s="24">
        <f>IF(O338="","",INDEX($H$3:$N$3,MATCH(O338,H338:N338,0)))</f>
        <v/>
      </c>
      <c r="Q338" s="23">
        <f>IF(Refino!$L$14="","",G338*Refino!$L$14*(1-RetCraft))</f>
        <v/>
      </c>
      <c r="R338" s="25">
        <f>IF(Artefatos!$L$24="","",Artefatos!$L$24*(1+TaxaCompra))</f>
        <v/>
      </c>
      <c r="S338">
        <f>IF(Artefatos!$M$24="","",Artefatos!$M$24)</f>
        <v/>
      </c>
      <c r="T338" s="25">
        <f>G338*Refino!$D$14+Artefatos!$F$24</f>
        <v/>
      </c>
      <c r="U338" s="25">
        <f>T338*0.1125*FeeCraft/100</f>
        <v/>
      </c>
      <c r="V338" s="23">
        <f>IF(OR(Q338="",R338=""),"",Q338+R338+U338)</f>
        <v/>
      </c>
      <c r="W338" s="23">
        <f>IF(O338="","",O338*(1-TaxaVenda))</f>
        <v/>
      </c>
      <c r="X338" s="26">
        <f>IF(OR(V338="",W338=""),"",W338-V338)</f>
        <v/>
      </c>
      <c r="Y338" s="27">
        <f>IF(X338="","",X338/V338)</f>
        <v/>
      </c>
    </row>
    <row r="339">
      <c r="A339" t="inlineStr">
        <is>
          <t>Demônio (Demon)|Elmo|T6.0</t>
        </is>
      </c>
      <c r="B339" t="inlineStr">
        <is>
          <t>Demônio (Demon)</t>
        </is>
      </c>
      <c r="C339" t="inlineStr">
        <is>
          <t>Elmo</t>
        </is>
      </c>
      <c r="D339" t="inlineStr">
        <is>
          <t>T6.0</t>
        </is>
      </c>
      <c r="E339" t="n">
        <v>6</v>
      </c>
      <c r="F339" t="n">
        <v>0</v>
      </c>
      <c r="G339" t="n">
        <v>8</v>
      </c>
      <c r="H339" s="22" t="n"/>
      <c r="I339" s="22" t="n"/>
      <c r="J339" s="22" t="n"/>
      <c r="K339" s="22" t="n"/>
      <c r="L339" s="22" t="n"/>
      <c r="M339" s="22" t="n"/>
      <c r="N339" s="22" t="n"/>
      <c r="O339" s="23">
        <f>IF(COUNT(H339:N339)=0,"",MAX(H339:N339))</f>
        <v/>
      </c>
      <c r="P339" s="24">
        <f>IF(O339="","",INDEX($H$3:$N$3,MATCH(O339,H339:N339,0)))</f>
        <v/>
      </c>
      <c r="Q339" s="23">
        <f>IF(Refino!$L$15="","",G339*Refino!$L$15*(1-RetCraft))</f>
        <v/>
      </c>
      <c r="R339" s="25">
        <f>IF(Artefatos!$L$25="","",Artefatos!$L$25*(1+TaxaCompra))</f>
        <v/>
      </c>
      <c r="S339">
        <f>IF(Artefatos!$M$25="","",Artefatos!$M$25)</f>
        <v/>
      </c>
      <c r="T339" s="25">
        <f>G339*Refino!$D$15+Artefatos!$F$25</f>
        <v/>
      </c>
      <c r="U339" s="25">
        <f>T339*0.1125*FeeCraft/100</f>
        <v/>
      </c>
      <c r="V339" s="23">
        <f>IF(OR(Q339="",R339=""),"",Q339+R339+U339)</f>
        <v/>
      </c>
      <c r="W339" s="23">
        <f>IF(O339="","",O339*(1-TaxaVenda))</f>
        <v/>
      </c>
      <c r="X339" s="26">
        <f>IF(OR(V339="",W339=""),"",W339-V339)</f>
        <v/>
      </c>
      <c r="Y339" s="27">
        <f>IF(X339="","",X339/V339)</f>
        <v/>
      </c>
    </row>
    <row r="340">
      <c r="A340" t="inlineStr">
        <is>
          <t>Demônio (Demon)|Elmo|T6.1</t>
        </is>
      </c>
      <c r="B340" t="inlineStr">
        <is>
          <t>Demônio (Demon)</t>
        </is>
      </c>
      <c r="C340" t="inlineStr">
        <is>
          <t>Elmo</t>
        </is>
      </c>
      <c r="D340" t="inlineStr">
        <is>
          <t>T6.1</t>
        </is>
      </c>
      <c r="E340" t="n">
        <v>6</v>
      </c>
      <c r="F340" t="n">
        <v>1</v>
      </c>
      <c r="G340" t="n">
        <v>8</v>
      </c>
      <c r="H340" s="22" t="n"/>
      <c r="I340" s="22" t="n"/>
      <c r="J340" s="22" t="n"/>
      <c r="K340" s="22" t="n"/>
      <c r="L340" s="22" t="n"/>
      <c r="M340" s="22" t="n"/>
      <c r="N340" s="22" t="n"/>
      <c r="O340" s="23">
        <f>IF(COUNT(H340:N340)=0,"",MAX(H340:N340))</f>
        <v/>
      </c>
      <c r="P340" s="24">
        <f>IF(O340="","",INDEX($H$3:$N$3,MATCH(O340,H340:N340,0)))</f>
        <v/>
      </c>
      <c r="Q340" s="23">
        <f>IF(Refino!$L$16="","",G340*Refino!$L$16*(1-RetCraft))</f>
        <v/>
      </c>
      <c r="R340" s="25">
        <f>IF(Artefatos!$L$25="","",Artefatos!$L$25*(1+TaxaCompra))</f>
        <v/>
      </c>
      <c r="S340">
        <f>IF(Artefatos!$M$25="","",Artefatos!$M$25)</f>
        <v/>
      </c>
      <c r="T340" s="25">
        <f>G340*Refino!$D$16+Artefatos!$F$25</f>
        <v/>
      </c>
      <c r="U340" s="25">
        <f>T340*0.1125*FeeCraft/100</f>
        <v/>
      </c>
      <c r="V340" s="23">
        <f>IF(OR(Q340="",R340=""),"",Q340+R340+U340)</f>
        <v/>
      </c>
      <c r="W340" s="23">
        <f>IF(O340="","",O340*(1-TaxaVenda))</f>
        <v/>
      </c>
      <c r="X340" s="26">
        <f>IF(OR(V340="",W340=""),"",W340-V340)</f>
        <v/>
      </c>
      <c r="Y340" s="27">
        <f>IF(X340="","",X340/V340)</f>
        <v/>
      </c>
    </row>
    <row r="341">
      <c r="A341" t="inlineStr">
        <is>
          <t>Demônio (Demon)|Elmo|T6.2</t>
        </is>
      </c>
      <c r="B341" t="inlineStr">
        <is>
          <t>Demônio (Demon)</t>
        </is>
      </c>
      <c r="C341" t="inlineStr">
        <is>
          <t>Elmo</t>
        </is>
      </c>
      <c r="D341" t="inlineStr">
        <is>
          <t>T6.2</t>
        </is>
      </c>
      <c r="E341" t="n">
        <v>6</v>
      </c>
      <c r="F341" t="n">
        <v>2</v>
      </c>
      <c r="G341" t="n">
        <v>8</v>
      </c>
      <c r="H341" s="22" t="n"/>
      <c r="I341" s="22" t="n"/>
      <c r="J341" s="22" t="n"/>
      <c r="K341" s="22" t="n"/>
      <c r="L341" s="22" t="n"/>
      <c r="M341" s="22" t="n"/>
      <c r="N341" s="22" t="n"/>
      <c r="O341" s="23">
        <f>IF(COUNT(H341:N341)=0,"",MAX(H341:N341))</f>
        <v/>
      </c>
      <c r="P341" s="24">
        <f>IF(O341="","",INDEX($H$3:$N$3,MATCH(O341,H341:N341,0)))</f>
        <v/>
      </c>
      <c r="Q341" s="23">
        <f>IF(Refino!$L$17="","",G341*Refino!$L$17*(1-RetCraft))</f>
        <v/>
      </c>
      <c r="R341" s="25">
        <f>IF(Artefatos!$L$25="","",Artefatos!$L$25*(1+TaxaCompra))</f>
        <v/>
      </c>
      <c r="S341">
        <f>IF(Artefatos!$M$25="","",Artefatos!$M$25)</f>
        <v/>
      </c>
      <c r="T341" s="25">
        <f>G341*Refino!$D$17+Artefatos!$F$25</f>
        <v/>
      </c>
      <c r="U341" s="25">
        <f>T341*0.1125*FeeCraft/100</f>
        <v/>
      </c>
      <c r="V341" s="23">
        <f>IF(OR(Q341="",R341=""),"",Q341+R341+U341)</f>
        <v/>
      </c>
      <c r="W341" s="23">
        <f>IF(O341="","",O341*(1-TaxaVenda))</f>
        <v/>
      </c>
      <c r="X341" s="26">
        <f>IF(OR(V341="",W341=""),"",W341-V341)</f>
        <v/>
      </c>
      <c r="Y341" s="27">
        <f>IF(X341="","",X341/V341)</f>
        <v/>
      </c>
    </row>
    <row r="342">
      <c r="A342" t="inlineStr">
        <is>
          <t>Demônio (Demon)|Elmo|T6.3</t>
        </is>
      </c>
      <c r="B342" t="inlineStr">
        <is>
          <t>Demônio (Demon)</t>
        </is>
      </c>
      <c r="C342" t="inlineStr">
        <is>
          <t>Elmo</t>
        </is>
      </c>
      <c r="D342" t="inlineStr">
        <is>
          <t>T6.3</t>
        </is>
      </c>
      <c r="E342" t="n">
        <v>6</v>
      </c>
      <c r="F342" t="n">
        <v>3</v>
      </c>
      <c r="G342" t="n">
        <v>8</v>
      </c>
      <c r="H342" s="22" t="n"/>
      <c r="I342" s="22" t="n"/>
      <c r="J342" s="22" t="n"/>
      <c r="K342" s="22" t="n"/>
      <c r="L342" s="22" t="n"/>
      <c r="M342" s="22" t="n"/>
      <c r="N342" s="22" t="n"/>
      <c r="O342" s="23">
        <f>IF(COUNT(H342:N342)=0,"",MAX(H342:N342))</f>
        <v/>
      </c>
      <c r="P342" s="24">
        <f>IF(O342="","",INDEX($H$3:$N$3,MATCH(O342,H342:N342,0)))</f>
        <v/>
      </c>
      <c r="Q342" s="23">
        <f>IF(Refino!$L$18="","",G342*Refino!$L$18*(1-RetCraft))</f>
        <v/>
      </c>
      <c r="R342" s="25">
        <f>IF(Artefatos!$L$25="","",Artefatos!$L$25*(1+TaxaCompra))</f>
        <v/>
      </c>
      <c r="S342">
        <f>IF(Artefatos!$M$25="","",Artefatos!$M$25)</f>
        <v/>
      </c>
      <c r="T342" s="25">
        <f>G342*Refino!$D$18+Artefatos!$F$25</f>
        <v/>
      </c>
      <c r="U342" s="25">
        <f>T342*0.1125*FeeCraft/100</f>
        <v/>
      </c>
      <c r="V342" s="23">
        <f>IF(OR(Q342="",R342=""),"",Q342+R342+U342)</f>
        <v/>
      </c>
      <c r="W342" s="23">
        <f>IF(O342="","",O342*(1-TaxaVenda))</f>
        <v/>
      </c>
      <c r="X342" s="26">
        <f>IF(OR(V342="",W342=""),"",W342-V342)</f>
        <v/>
      </c>
      <c r="Y342" s="27">
        <f>IF(X342="","",X342/V342)</f>
        <v/>
      </c>
    </row>
    <row r="343">
      <c r="A343" t="inlineStr">
        <is>
          <t>Demônio (Demon)|Elmo|T6.4</t>
        </is>
      </c>
      <c r="B343" t="inlineStr">
        <is>
          <t>Demônio (Demon)</t>
        </is>
      </c>
      <c r="C343" t="inlineStr">
        <is>
          <t>Elmo</t>
        </is>
      </c>
      <c r="D343" t="inlineStr">
        <is>
          <t>T6.4</t>
        </is>
      </c>
      <c r="E343" t="n">
        <v>6</v>
      </c>
      <c r="F343" t="n">
        <v>4</v>
      </c>
      <c r="G343" t="n">
        <v>8</v>
      </c>
      <c r="H343" s="22" t="n"/>
      <c r="I343" s="22" t="n"/>
      <c r="J343" s="22" t="n"/>
      <c r="K343" s="22" t="n"/>
      <c r="L343" s="22" t="n"/>
      <c r="M343" s="22" t="n"/>
      <c r="N343" s="22" t="n"/>
      <c r="O343" s="23">
        <f>IF(COUNT(H343:N343)=0,"",MAX(H343:N343))</f>
        <v/>
      </c>
      <c r="P343" s="24">
        <f>IF(O343="","",INDEX($H$3:$N$3,MATCH(O343,H343:N343,0)))</f>
        <v/>
      </c>
      <c r="Q343" s="23">
        <f>IF(Refino!$L$19="","",G343*Refino!$L$19*(1-RetCraft))</f>
        <v/>
      </c>
      <c r="R343" s="25">
        <f>IF(Artefatos!$L$25="","",Artefatos!$L$25*(1+TaxaCompra))</f>
        <v/>
      </c>
      <c r="S343">
        <f>IF(Artefatos!$M$25="","",Artefatos!$M$25)</f>
        <v/>
      </c>
      <c r="T343" s="25">
        <f>G343*Refino!$D$19+Artefatos!$F$25</f>
        <v/>
      </c>
      <c r="U343" s="25">
        <f>T343*0.1125*FeeCraft/100</f>
        <v/>
      </c>
      <c r="V343" s="23">
        <f>IF(OR(Q343="",R343=""),"",Q343+R343+U343)</f>
        <v/>
      </c>
      <c r="W343" s="23">
        <f>IF(O343="","",O343*(1-TaxaVenda))</f>
        <v/>
      </c>
      <c r="X343" s="26">
        <f>IF(OR(V343="",W343=""),"",W343-V343)</f>
        <v/>
      </c>
      <c r="Y343" s="27">
        <f>IF(X343="","",X343/V343)</f>
        <v/>
      </c>
    </row>
    <row r="344">
      <c r="A344" t="inlineStr">
        <is>
          <t>Demônio (Demon)|Elmo|T7.0</t>
        </is>
      </c>
      <c r="B344" t="inlineStr">
        <is>
          <t>Demônio (Demon)</t>
        </is>
      </c>
      <c r="C344" t="inlineStr">
        <is>
          <t>Elmo</t>
        </is>
      </c>
      <c r="D344" t="inlineStr">
        <is>
          <t>T7.0</t>
        </is>
      </c>
      <c r="E344" t="n">
        <v>7</v>
      </c>
      <c r="F344" t="n">
        <v>0</v>
      </c>
      <c r="G344" t="n">
        <v>8</v>
      </c>
      <c r="H344" s="22" t="n"/>
      <c r="I344" s="22" t="n"/>
      <c r="J344" s="22" t="n"/>
      <c r="K344" s="22" t="n"/>
      <c r="L344" s="22" t="n"/>
      <c r="M344" s="22" t="n"/>
      <c r="N344" s="22" t="n"/>
      <c r="O344" s="23">
        <f>IF(COUNT(H344:N344)=0,"",MAX(H344:N344))</f>
        <v/>
      </c>
      <c r="P344" s="24">
        <f>IF(O344="","",INDEX($H$3:$N$3,MATCH(O344,H344:N344,0)))</f>
        <v/>
      </c>
      <c r="Q344" s="23">
        <f>IF(Refino!$L$20="","",G344*Refino!$L$20*(1-RetCraft))</f>
        <v/>
      </c>
      <c r="R344" s="25">
        <f>IF(Artefatos!$L$26="","",Artefatos!$L$26*(1+TaxaCompra))</f>
        <v/>
      </c>
      <c r="S344">
        <f>IF(Artefatos!$M$26="","",Artefatos!$M$26)</f>
        <v/>
      </c>
      <c r="T344" s="25">
        <f>G344*Refino!$D$20+Artefatos!$F$26</f>
        <v/>
      </c>
      <c r="U344" s="25">
        <f>T344*0.1125*FeeCraft/100</f>
        <v/>
      </c>
      <c r="V344" s="23">
        <f>IF(OR(Q344="",R344=""),"",Q344+R344+U344)</f>
        <v/>
      </c>
      <c r="W344" s="23">
        <f>IF(O344="","",O344*(1-TaxaVenda))</f>
        <v/>
      </c>
      <c r="X344" s="26">
        <f>IF(OR(V344="",W344=""),"",W344-V344)</f>
        <v/>
      </c>
      <c r="Y344" s="27">
        <f>IF(X344="","",X344/V344)</f>
        <v/>
      </c>
    </row>
    <row r="345">
      <c r="A345" t="inlineStr">
        <is>
          <t>Demônio (Demon)|Elmo|T7.1</t>
        </is>
      </c>
      <c r="B345" t="inlineStr">
        <is>
          <t>Demônio (Demon)</t>
        </is>
      </c>
      <c r="C345" t="inlineStr">
        <is>
          <t>Elmo</t>
        </is>
      </c>
      <c r="D345" t="inlineStr">
        <is>
          <t>T7.1</t>
        </is>
      </c>
      <c r="E345" t="n">
        <v>7</v>
      </c>
      <c r="F345" t="n">
        <v>1</v>
      </c>
      <c r="G345" t="n">
        <v>8</v>
      </c>
      <c r="H345" s="22" t="n"/>
      <c r="I345" s="22" t="n"/>
      <c r="J345" s="22" t="n"/>
      <c r="K345" s="22" t="n"/>
      <c r="L345" s="22" t="n"/>
      <c r="M345" s="22" t="n"/>
      <c r="N345" s="22" t="n"/>
      <c r="O345" s="23">
        <f>IF(COUNT(H345:N345)=0,"",MAX(H345:N345))</f>
        <v/>
      </c>
      <c r="P345" s="24">
        <f>IF(O345="","",INDEX($H$3:$N$3,MATCH(O345,H345:N345,0)))</f>
        <v/>
      </c>
      <c r="Q345" s="23">
        <f>IF(Refino!$L$21="","",G345*Refino!$L$21*(1-RetCraft))</f>
        <v/>
      </c>
      <c r="R345" s="25">
        <f>IF(Artefatos!$L$26="","",Artefatos!$L$26*(1+TaxaCompra))</f>
        <v/>
      </c>
      <c r="S345">
        <f>IF(Artefatos!$M$26="","",Artefatos!$M$26)</f>
        <v/>
      </c>
      <c r="T345" s="25">
        <f>G345*Refino!$D$21+Artefatos!$F$26</f>
        <v/>
      </c>
      <c r="U345" s="25">
        <f>T345*0.1125*FeeCraft/100</f>
        <v/>
      </c>
      <c r="V345" s="23">
        <f>IF(OR(Q345="",R345=""),"",Q345+R345+U345)</f>
        <v/>
      </c>
      <c r="W345" s="23">
        <f>IF(O345="","",O345*(1-TaxaVenda))</f>
        <v/>
      </c>
      <c r="X345" s="26">
        <f>IF(OR(V345="",W345=""),"",W345-V345)</f>
        <v/>
      </c>
      <c r="Y345" s="27">
        <f>IF(X345="","",X345/V345)</f>
        <v/>
      </c>
    </row>
    <row r="346">
      <c r="A346" t="inlineStr">
        <is>
          <t>Demônio (Demon)|Elmo|T7.2</t>
        </is>
      </c>
      <c r="B346" t="inlineStr">
        <is>
          <t>Demônio (Demon)</t>
        </is>
      </c>
      <c r="C346" t="inlineStr">
        <is>
          <t>Elmo</t>
        </is>
      </c>
      <c r="D346" t="inlineStr">
        <is>
          <t>T7.2</t>
        </is>
      </c>
      <c r="E346" t="n">
        <v>7</v>
      </c>
      <c r="F346" t="n">
        <v>2</v>
      </c>
      <c r="G346" t="n">
        <v>8</v>
      </c>
      <c r="H346" s="22" t="n"/>
      <c r="I346" s="22" t="n"/>
      <c r="J346" s="22" t="n"/>
      <c r="K346" s="22" t="n"/>
      <c r="L346" s="22" t="n"/>
      <c r="M346" s="22" t="n"/>
      <c r="N346" s="22" t="n"/>
      <c r="O346" s="23">
        <f>IF(COUNT(H346:N346)=0,"",MAX(H346:N346))</f>
        <v/>
      </c>
      <c r="P346" s="24">
        <f>IF(O346="","",INDEX($H$3:$N$3,MATCH(O346,H346:N346,0)))</f>
        <v/>
      </c>
      <c r="Q346" s="23">
        <f>IF(Refino!$L$22="","",G346*Refino!$L$22*(1-RetCraft))</f>
        <v/>
      </c>
      <c r="R346" s="25">
        <f>IF(Artefatos!$L$26="","",Artefatos!$L$26*(1+TaxaCompra))</f>
        <v/>
      </c>
      <c r="S346">
        <f>IF(Artefatos!$M$26="","",Artefatos!$M$26)</f>
        <v/>
      </c>
      <c r="T346" s="25">
        <f>G346*Refino!$D$22+Artefatos!$F$26</f>
        <v/>
      </c>
      <c r="U346" s="25">
        <f>T346*0.1125*FeeCraft/100</f>
        <v/>
      </c>
      <c r="V346" s="23">
        <f>IF(OR(Q346="",R346=""),"",Q346+R346+U346)</f>
        <v/>
      </c>
      <c r="W346" s="23">
        <f>IF(O346="","",O346*(1-TaxaVenda))</f>
        <v/>
      </c>
      <c r="X346" s="26">
        <f>IF(OR(V346="",W346=""),"",W346-V346)</f>
        <v/>
      </c>
      <c r="Y346" s="27">
        <f>IF(X346="","",X346/V346)</f>
        <v/>
      </c>
    </row>
    <row r="347">
      <c r="A347" t="inlineStr">
        <is>
          <t>Demônio (Demon)|Elmo|T7.3</t>
        </is>
      </c>
      <c r="B347" t="inlineStr">
        <is>
          <t>Demônio (Demon)</t>
        </is>
      </c>
      <c r="C347" t="inlineStr">
        <is>
          <t>Elmo</t>
        </is>
      </c>
      <c r="D347" t="inlineStr">
        <is>
          <t>T7.3</t>
        </is>
      </c>
      <c r="E347" t="n">
        <v>7</v>
      </c>
      <c r="F347" t="n">
        <v>3</v>
      </c>
      <c r="G347" t="n">
        <v>8</v>
      </c>
      <c r="H347" s="22" t="n"/>
      <c r="I347" s="22" t="n"/>
      <c r="J347" s="22" t="n"/>
      <c r="K347" s="22" t="n"/>
      <c r="L347" s="22" t="n"/>
      <c r="M347" s="22" t="n"/>
      <c r="N347" s="22" t="n"/>
      <c r="O347" s="23">
        <f>IF(COUNT(H347:N347)=0,"",MAX(H347:N347))</f>
        <v/>
      </c>
      <c r="P347" s="24">
        <f>IF(O347="","",INDEX($H$3:$N$3,MATCH(O347,H347:N347,0)))</f>
        <v/>
      </c>
      <c r="Q347" s="23">
        <f>IF(Refino!$L$23="","",G347*Refino!$L$23*(1-RetCraft))</f>
        <v/>
      </c>
      <c r="R347" s="25">
        <f>IF(Artefatos!$L$26="","",Artefatos!$L$26*(1+TaxaCompra))</f>
        <v/>
      </c>
      <c r="S347">
        <f>IF(Artefatos!$M$26="","",Artefatos!$M$26)</f>
        <v/>
      </c>
      <c r="T347" s="25">
        <f>G347*Refino!$D$23+Artefatos!$F$26</f>
        <v/>
      </c>
      <c r="U347" s="25">
        <f>T347*0.1125*FeeCraft/100</f>
        <v/>
      </c>
      <c r="V347" s="23">
        <f>IF(OR(Q347="",R347=""),"",Q347+R347+U347)</f>
        <v/>
      </c>
      <c r="W347" s="23">
        <f>IF(O347="","",O347*(1-TaxaVenda))</f>
        <v/>
      </c>
      <c r="X347" s="26">
        <f>IF(OR(V347="",W347=""),"",W347-V347)</f>
        <v/>
      </c>
      <c r="Y347" s="27">
        <f>IF(X347="","",X347/V347)</f>
        <v/>
      </c>
    </row>
    <row r="348">
      <c r="A348" t="inlineStr">
        <is>
          <t>Demônio (Demon)|Elmo|T7.4</t>
        </is>
      </c>
      <c r="B348" t="inlineStr">
        <is>
          <t>Demônio (Demon)</t>
        </is>
      </c>
      <c r="C348" t="inlineStr">
        <is>
          <t>Elmo</t>
        </is>
      </c>
      <c r="D348" t="inlineStr">
        <is>
          <t>T7.4</t>
        </is>
      </c>
      <c r="E348" t="n">
        <v>7</v>
      </c>
      <c r="F348" t="n">
        <v>4</v>
      </c>
      <c r="G348" t="n">
        <v>8</v>
      </c>
      <c r="H348" s="22" t="n"/>
      <c r="I348" s="22" t="n"/>
      <c r="J348" s="22" t="n"/>
      <c r="K348" s="22" t="n"/>
      <c r="L348" s="22" t="n"/>
      <c r="M348" s="22" t="n"/>
      <c r="N348" s="22" t="n"/>
      <c r="O348" s="23">
        <f>IF(COUNT(H348:N348)=0,"",MAX(H348:N348))</f>
        <v/>
      </c>
      <c r="P348" s="24">
        <f>IF(O348="","",INDEX($H$3:$N$3,MATCH(O348,H348:N348,0)))</f>
        <v/>
      </c>
      <c r="Q348" s="23">
        <f>IF(Refino!$L$24="","",G348*Refino!$L$24*(1-RetCraft))</f>
        <v/>
      </c>
      <c r="R348" s="25">
        <f>IF(Artefatos!$L$26="","",Artefatos!$L$26*(1+TaxaCompra))</f>
        <v/>
      </c>
      <c r="S348">
        <f>IF(Artefatos!$M$26="","",Artefatos!$M$26)</f>
        <v/>
      </c>
      <c r="T348" s="25">
        <f>G348*Refino!$D$24+Artefatos!$F$26</f>
        <v/>
      </c>
      <c r="U348" s="25">
        <f>T348*0.1125*FeeCraft/100</f>
        <v/>
      </c>
      <c r="V348" s="23">
        <f>IF(OR(Q348="",R348=""),"",Q348+R348+U348)</f>
        <v/>
      </c>
      <c r="W348" s="23">
        <f>IF(O348="","",O348*(1-TaxaVenda))</f>
        <v/>
      </c>
      <c r="X348" s="26">
        <f>IF(OR(V348="",W348=""),"",W348-V348)</f>
        <v/>
      </c>
      <c r="Y348" s="27">
        <f>IF(X348="","",X348/V348)</f>
        <v/>
      </c>
    </row>
    <row r="349">
      <c r="A349" t="inlineStr">
        <is>
          <t>Demônio (Demon)|Elmo|T8.0</t>
        </is>
      </c>
      <c r="B349" t="inlineStr">
        <is>
          <t>Demônio (Demon)</t>
        </is>
      </c>
      <c r="C349" t="inlineStr">
        <is>
          <t>Elmo</t>
        </is>
      </c>
      <c r="D349" t="inlineStr">
        <is>
          <t>T8.0</t>
        </is>
      </c>
      <c r="E349" t="n">
        <v>8</v>
      </c>
      <c r="F349" t="n">
        <v>0</v>
      </c>
      <c r="G349" t="n">
        <v>8</v>
      </c>
      <c r="H349" s="22" t="n"/>
      <c r="I349" s="22" t="n"/>
      <c r="J349" s="22" t="n"/>
      <c r="K349" s="22" t="n"/>
      <c r="L349" s="22" t="n"/>
      <c r="M349" s="22" t="n"/>
      <c r="N349" s="22" t="n"/>
      <c r="O349" s="23">
        <f>IF(COUNT(H349:N349)=0,"",MAX(H349:N349))</f>
        <v/>
      </c>
      <c r="P349" s="24">
        <f>IF(O349="","",INDEX($H$3:$N$3,MATCH(O349,H349:N349,0)))</f>
        <v/>
      </c>
      <c r="Q349" s="23">
        <f>IF(Refino!$L$25="","",G349*Refino!$L$25*(1-RetCraft))</f>
        <v/>
      </c>
      <c r="R349" s="25">
        <f>IF(Artefatos!$L$27="","",Artefatos!$L$27*(1+TaxaCompra))</f>
        <v/>
      </c>
      <c r="S349">
        <f>IF(Artefatos!$M$27="","",Artefatos!$M$27)</f>
        <v/>
      </c>
      <c r="T349" s="25">
        <f>G349*Refino!$D$25+Artefatos!$F$27</f>
        <v/>
      </c>
      <c r="U349" s="25">
        <f>T349*0.1125*FeeCraft/100</f>
        <v/>
      </c>
      <c r="V349" s="23">
        <f>IF(OR(Q349="",R349=""),"",Q349+R349+U349)</f>
        <v/>
      </c>
      <c r="W349" s="23">
        <f>IF(O349="","",O349*(1-TaxaVenda))</f>
        <v/>
      </c>
      <c r="X349" s="26">
        <f>IF(OR(V349="",W349=""),"",W349-V349)</f>
        <v/>
      </c>
      <c r="Y349" s="27">
        <f>IF(X349="","",X349/V349)</f>
        <v/>
      </c>
    </row>
    <row r="350">
      <c r="A350" t="inlineStr">
        <is>
          <t>Demônio (Demon)|Elmo|T8.1</t>
        </is>
      </c>
      <c r="B350" t="inlineStr">
        <is>
          <t>Demônio (Demon)</t>
        </is>
      </c>
      <c r="C350" t="inlineStr">
        <is>
          <t>Elmo</t>
        </is>
      </c>
      <c r="D350" t="inlineStr">
        <is>
          <t>T8.1</t>
        </is>
      </c>
      <c r="E350" t="n">
        <v>8</v>
      </c>
      <c r="F350" t="n">
        <v>1</v>
      </c>
      <c r="G350" t="n">
        <v>8</v>
      </c>
      <c r="H350" s="22" t="n"/>
      <c r="I350" s="22" t="n"/>
      <c r="J350" s="22" t="n"/>
      <c r="K350" s="22" t="n"/>
      <c r="L350" s="22" t="n"/>
      <c r="M350" s="22" t="n"/>
      <c r="N350" s="22" t="n"/>
      <c r="O350" s="23">
        <f>IF(COUNT(H350:N350)=0,"",MAX(H350:N350))</f>
        <v/>
      </c>
      <c r="P350" s="24">
        <f>IF(O350="","",INDEX($H$3:$N$3,MATCH(O350,H350:N350,0)))</f>
        <v/>
      </c>
      <c r="Q350" s="23">
        <f>IF(Refino!$L$26="","",G350*Refino!$L$26*(1-RetCraft))</f>
        <v/>
      </c>
      <c r="R350" s="25">
        <f>IF(Artefatos!$L$27="","",Artefatos!$L$27*(1+TaxaCompra))</f>
        <v/>
      </c>
      <c r="S350">
        <f>IF(Artefatos!$M$27="","",Artefatos!$M$27)</f>
        <v/>
      </c>
      <c r="T350" s="25">
        <f>G350*Refino!$D$26+Artefatos!$F$27</f>
        <v/>
      </c>
      <c r="U350" s="25">
        <f>T350*0.1125*FeeCraft/100</f>
        <v/>
      </c>
      <c r="V350" s="23">
        <f>IF(OR(Q350="",R350=""),"",Q350+R350+U350)</f>
        <v/>
      </c>
      <c r="W350" s="23">
        <f>IF(O350="","",O350*(1-TaxaVenda))</f>
        <v/>
      </c>
      <c r="X350" s="26">
        <f>IF(OR(V350="",W350=""),"",W350-V350)</f>
        <v/>
      </c>
      <c r="Y350" s="27">
        <f>IF(X350="","",X350/V350)</f>
        <v/>
      </c>
    </row>
    <row r="351">
      <c r="A351" t="inlineStr">
        <is>
          <t>Demônio (Demon)|Elmo|T8.2</t>
        </is>
      </c>
      <c r="B351" t="inlineStr">
        <is>
          <t>Demônio (Demon)</t>
        </is>
      </c>
      <c r="C351" t="inlineStr">
        <is>
          <t>Elmo</t>
        </is>
      </c>
      <c r="D351" t="inlineStr">
        <is>
          <t>T8.2</t>
        </is>
      </c>
      <c r="E351" t="n">
        <v>8</v>
      </c>
      <c r="F351" t="n">
        <v>2</v>
      </c>
      <c r="G351" t="n">
        <v>8</v>
      </c>
      <c r="H351" s="22" t="n"/>
      <c r="I351" s="22" t="n"/>
      <c r="J351" s="22" t="n"/>
      <c r="K351" s="22" t="n"/>
      <c r="L351" s="22" t="n"/>
      <c r="M351" s="22" t="n"/>
      <c r="N351" s="22" t="n"/>
      <c r="O351" s="23">
        <f>IF(COUNT(H351:N351)=0,"",MAX(H351:N351))</f>
        <v/>
      </c>
      <c r="P351" s="24">
        <f>IF(O351="","",INDEX($H$3:$N$3,MATCH(O351,H351:N351,0)))</f>
        <v/>
      </c>
      <c r="Q351" s="23">
        <f>IF(Refino!$L$27="","",G351*Refino!$L$27*(1-RetCraft))</f>
        <v/>
      </c>
      <c r="R351" s="25">
        <f>IF(Artefatos!$L$27="","",Artefatos!$L$27*(1+TaxaCompra))</f>
        <v/>
      </c>
      <c r="S351">
        <f>IF(Artefatos!$M$27="","",Artefatos!$M$27)</f>
        <v/>
      </c>
      <c r="T351" s="25">
        <f>G351*Refino!$D$27+Artefatos!$F$27</f>
        <v/>
      </c>
      <c r="U351" s="25">
        <f>T351*0.1125*FeeCraft/100</f>
        <v/>
      </c>
      <c r="V351" s="23">
        <f>IF(OR(Q351="",R351=""),"",Q351+R351+U351)</f>
        <v/>
      </c>
      <c r="W351" s="23">
        <f>IF(O351="","",O351*(1-TaxaVenda))</f>
        <v/>
      </c>
      <c r="X351" s="26">
        <f>IF(OR(V351="",W351=""),"",W351-V351)</f>
        <v/>
      </c>
      <c r="Y351" s="27">
        <f>IF(X351="","",X351/V351)</f>
        <v/>
      </c>
    </row>
    <row r="352">
      <c r="A352" t="inlineStr">
        <is>
          <t>Demônio (Demon)|Elmo|T8.3</t>
        </is>
      </c>
      <c r="B352" t="inlineStr">
        <is>
          <t>Demônio (Demon)</t>
        </is>
      </c>
      <c r="C352" t="inlineStr">
        <is>
          <t>Elmo</t>
        </is>
      </c>
      <c r="D352" t="inlineStr">
        <is>
          <t>T8.3</t>
        </is>
      </c>
      <c r="E352" t="n">
        <v>8</v>
      </c>
      <c r="F352" t="n">
        <v>3</v>
      </c>
      <c r="G352" t="n">
        <v>8</v>
      </c>
      <c r="H352" s="22" t="n"/>
      <c r="I352" s="22" t="n"/>
      <c r="J352" s="22" t="n"/>
      <c r="K352" s="22" t="n"/>
      <c r="L352" s="22" t="n"/>
      <c r="M352" s="22" t="n"/>
      <c r="N352" s="22" t="n"/>
      <c r="O352" s="23">
        <f>IF(COUNT(H352:N352)=0,"",MAX(H352:N352))</f>
        <v/>
      </c>
      <c r="P352" s="24">
        <f>IF(O352="","",INDEX($H$3:$N$3,MATCH(O352,H352:N352,0)))</f>
        <v/>
      </c>
      <c r="Q352" s="23">
        <f>IF(Refino!$L$28="","",G352*Refino!$L$28*(1-RetCraft))</f>
        <v/>
      </c>
      <c r="R352" s="25">
        <f>IF(Artefatos!$L$27="","",Artefatos!$L$27*(1+TaxaCompra))</f>
        <v/>
      </c>
      <c r="S352">
        <f>IF(Artefatos!$M$27="","",Artefatos!$M$27)</f>
        <v/>
      </c>
      <c r="T352" s="25">
        <f>G352*Refino!$D$28+Artefatos!$F$27</f>
        <v/>
      </c>
      <c r="U352" s="25">
        <f>T352*0.1125*FeeCraft/100</f>
        <v/>
      </c>
      <c r="V352" s="23">
        <f>IF(OR(Q352="",R352=""),"",Q352+R352+U352)</f>
        <v/>
      </c>
      <c r="W352" s="23">
        <f>IF(O352="","",O352*(1-TaxaVenda))</f>
        <v/>
      </c>
      <c r="X352" s="26">
        <f>IF(OR(V352="",W352=""),"",W352-V352)</f>
        <v/>
      </c>
      <c r="Y352" s="27">
        <f>IF(X352="","",X352/V352)</f>
        <v/>
      </c>
    </row>
    <row r="353">
      <c r="A353" t="inlineStr">
        <is>
          <t>Demônio (Demon)|Elmo|T8.4</t>
        </is>
      </c>
      <c r="B353" t="inlineStr">
        <is>
          <t>Demônio (Demon)</t>
        </is>
      </c>
      <c r="C353" t="inlineStr">
        <is>
          <t>Elmo</t>
        </is>
      </c>
      <c r="D353" t="inlineStr">
        <is>
          <t>T8.4</t>
        </is>
      </c>
      <c r="E353" t="n">
        <v>8</v>
      </c>
      <c r="F353" t="n">
        <v>4</v>
      </c>
      <c r="G353" t="n">
        <v>8</v>
      </c>
      <c r="H353" s="22" t="n"/>
      <c r="I353" s="22" t="n"/>
      <c r="J353" s="22" t="n"/>
      <c r="K353" s="22" t="n"/>
      <c r="L353" s="22" t="n"/>
      <c r="M353" s="22" t="n"/>
      <c r="N353" s="22" t="n"/>
      <c r="O353" s="23">
        <f>IF(COUNT(H353:N353)=0,"",MAX(H353:N353))</f>
        <v/>
      </c>
      <c r="P353" s="24">
        <f>IF(O353="","",INDEX($H$3:$N$3,MATCH(O353,H353:N353,0)))</f>
        <v/>
      </c>
      <c r="Q353" s="23">
        <f>IF(Refino!$L$29="","",G353*Refino!$L$29*(1-RetCraft))</f>
        <v/>
      </c>
      <c r="R353" s="25">
        <f>IF(Artefatos!$L$27="","",Artefatos!$L$27*(1+TaxaCompra))</f>
        <v/>
      </c>
      <c r="S353">
        <f>IF(Artefatos!$M$27="","",Artefatos!$M$27)</f>
        <v/>
      </c>
      <c r="T353" s="25">
        <f>G353*Refino!$D$29+Artefatos!$F$27</f>
        <v/>
      </c>
      <c r="U353" s="25">
        <f>T353*0.1125*FeeCraft/100</f>
        <v/>
      </c>
      <c r="V353" s="23">
        <f>IF(OR(Q353="",R353=""),"",Q353+R353+U353)</f>
        <v/>
      </c>
      <c r="W353" s="23">
        <f>IF(O353="","",O353*(1-TaxaVenda))</f>
        <v/>
      </c>
      <c r="X353" s="26">
        <f>IF(OR(V353="",W353=""),"",W353-V353)</f>
        <v/>
      </c>
      <c r="Y353" s="27">
        <f>IF(X353="","",X353/V353)</f>
        <v/>
      </c>
    </row>
    <row r="354">
      <c r="A354" t="inlineStr">
        <is>
          <t>Demônio (Demon)|Botas|T4.0</t>
        </is>
      </c>
      <c r="B354" t="inlineStr">
        <is>
          <t>Demônio (Demon)</t>
        </is>
      </c>
      <c r="C354" t="inlineStr">
        <is>
          <t>Botas</t>
        </is>
      </c>
      <c r="D354" t="inlineStr">
        <is>
          <t>T4.0</t>
        </is>
      </c>
      <c r="E354" t="n">
        <v>4</v>
      </c>
      <c r="F354" t="n">
        <v>0</v>
      </c>
      <c r="G354" t="n">
        <v>8</v>
      </c>
      <c r="H354" s="22" t="n"/>
      <c r="I354" s="22" t="n"/>
      <c r="J354" s="22" t="n"/>
      <c r="K354" s="22" t="n"/>
      <c r="L354" s="22" t="n"/>
      <c r="M354" s="22" t="n"/>
      <c r="N354" s="22" t="n"/>
      <c r="O354" s="23">
        <f>IF(COUNT(H354:N354)=0,"",MAX(H354:N354))</f>
        <v/>
      </c>
      <c r="P354" s="24">
        <f>IF(O354="","",INDEX($H$3:$N$3,MATCH(O354,H354:N354,0)))</f>
        <v/>
      </c>
      <c r="Q354" s="23">
        <f>IF(Refino!$L$5="","",G354*Refino!$L$5*(1-RetCraft))</f>
        <v/>
      </c>
      <c r="R354" s="25">
        <f>IF(Artefatos!$L$28="","",Artefatos!$L$28*(1+TaxaCompra))</f>
        <v/>
      </c>
      <c r="S354">
        <f>IF(Artefatos!$M$28="","",Artefatos!$M$28)</f>
        <v/>
      </c>
      <c r="T354" s="25">
        <f>G354*Refino!$D$5+Artefatos!$F$28</f>
        <v/>
      </c>
      <c r="U354" s="25">
        <f>T354*0.1125*FeeCraft/100</f>
        <v/>
      </c>
      <c r="V354" s="23">
        <f>IF(OR(Q354="",R354=""),"",Q354+R354+U354)</f>
        <v/>
      </c>
      <c r="W354" s="23">
        <f>IF(O354="","",O354*(1-TaxaVenda))</f>
        <v/>
      </c>
      <c r="X354" s="26">
        <f>IF(OR(V354="",W354=""),"",W354-V354)</f>
        <v/>
      </c>
      <c r="Y354" s="27">
        <f>IF(X354="","",X354/V354)</f>
        <v/>
      </c>
    </row>
    <row r="355">
      <c r="A355" t="inlineStr">
        <is>
          <t>Demônio (Demon)|Botas|T4.1</t>
        </is>
      </c>
      <c r="B355" t="inlineStr">
        <is>
          <t>Demônio (Demon)</t>
        </is>
      </c>
      <c r="C355" t="inlineStr">
        <is>
          <t>Botas</t>
        </is>
      </c>
      <c r="D355" t="inlineStr">
        <is>
          <t>T4.1</t>
        </is>
      </c>
      <c r="E355" t="n">
        <v>4</v>
      </c>
      <c r="F355" t="n">
        <v>1</v>
      </c>
      <c r="G355" t="n">
        <v>8</v>
      </c>
      <c r="H355" s="22" t="n"/>
      <c r="I355" s="22" t="n"/>
      <c r="J355" s="22" t="n"/>
      <c r="K355" s="22" t="n"/>
      <c r="L355" s="22" t="n"/>
      <c r="M355" s="22" t="n"/>
      <c r="N355" s="22" t="n"/>
      <c r="O355" s="23">
        <f>IF(COUNT(H355:N355)=0,"",MAX(H355:N355))</f>
        <v/>
      </c>
      <c r="P355" s="24">
        <f>IF(O355="","",INDEX($H$3:$N$3,MATCH(O355,H355:N355,0)))</f>
        <v/>
      </c>
      <c r="Q355" s="23">
        <f>IF(Refino!$L$6="","",G355*Refino!$L$6*(1-RetCraft))</f>
        <v/>
      </c>
      <c r="R355" s="25">
        <f>IF(Artefatos!$L$28="","",Artefatos!$L$28*(1+TaxaCompra))</f>
        <v/>
      </c>
      <c r="S355">
        <f>IF(Artefatos!$M$28="","",Artefatos!$M$28)</f>
        <v/>
      </c>
      <c r="T355" s="25">
        <f>G355*Refino!$D$6+Artefatos!$F$28</f>
        <v/>
      </c>
      <c r="U355" s="25">
        <f>T355*0.1125*FeeCraft/100</f>
        <v/>
      </c>
      <c r="V355" s="23">
        <f>IF(OR(Q355="",R355=""),"",Q355+R355+U355)</f>
        <v/>
      </c>
      <c r="W355" s="23">
        <f>IF(O355="","",O355*(1-TaxaVenda))</f>
        <v/>
      </c>
      <c r="X355" s="26">
        <f>IF(OR(V355="",W355=""),"",W355-V355)</f>
        <v/>
      </c>
      <c r="Y355" s="27">
        <f>IF(X355="","",X355/V355)</f>
        <v/>
      </c>
    </row>
    <row r="356">
      <c r="A356" t="inlineStr">
        <is>
          <t>Demônio (Demon)|Botas|T4.2</t>
        </is>
      </c>
      <c r="B356" t="inlineStr">
        <is>
          <t>Demônio (Demon)</t>
        </is>
      </c>
      <c r="C356" t="inlineStr">
        <is>
          <t>Botas</t>
        </is>
      </c>
      <c r="D356" t="inlineStr">
        <is>
          <t>T4.2</t>
        </is>
      </c>
      <c r="E356" t="n">
        <v>4</v>
      </c>
      <c r="F356" t="n">
        <v>2</v>
      </c>
      <c r="G356" t="n">
        <v>8</v>
      </c>
      <c r="H356" s="22" t="n"/>
      <c r="I356" s="22" t="n"/>
      <c r="J356" s="22" t="n"/>
      <c r="K356" s="22" t="n"/>
      <c r="L356" s="22" t="n"/>
      <c r="M356" s="22" t="n"/>
      <c r="N356" s="22" t="n"/>
      <c r="O356" s="23">
        <f>IF(COUNT(H356:N356)=0,"",MAX(H356:N356))</f>
        <v/>
      </c>
      <c r="P356" s="24">
        <f>IF(O356="","",INDEX($H$3:$N$3,MATCH(O356,H356:N356,0)))</f>
        <v/>
      </c>
      <c r="Q356" s="23">
        <f>IF(Refino!$L$7="","",G356*Refino!$L$7*(1-RetCraft))</f>
        <v/>
      </c>
      <c r="R356" s="25">
        <f>IF(Artefatos!$L$28="","",Artefatos!$L$28*(1+TaxaCompra))</f>
        <v/>
      </c>
      <c r="S356">
        <f>IF(Artefatos!$M$28="","",Artefatos!$M$28)</f>
        <v/>
      </c>
      <c r="T356" s="25">
        <f>G356*Refino!$D$7+Artefatos!$F$28</f>
        <v/>
      </c>
      <c r="U356" s="25">
        <f>T356*0.1125*FeeCraft/100</f>
        <v/>
      </c>
      <c r="V356" s="23">
        <f>IF(OR(Q356="",R356=""),"",Q356+R356+U356)</f>
        <v/>
      </c>
      <c r="W356" s="23">
        <f>IF(O356="","",O356*(1-TaxaVenda))</f>
        <v/>
      </c>
      <c r="X356" s="26">
        <f>IF(OR(V356="",W356=""),"",W356-V356)</f>
        <v/>
      </c>
      <c r="Y356" s="27">
        <f>IF(X356="","",X356/V356)</f>
        <v/>
      </c>
    </row>
    <row r="357">
      <c r="A357" t="inlineStr">
        <is>
          <t>Demônio (Demon)|Botas|T4.3</t>
        </is>
      </c>
      <c r="B357" t="inlineStr">
        <is>
          <t>Demônio (Demon)</t>
        </is>
      </c>
      <c r="C357" t="inlineStr">
        <is>
          <t>Botas</t>
        </is>
      </c>
      <c r="D357" t="inlineStr">
        <is>
          <t>T4.3</t>
        </is>
      </c>
      <c r="E357" t="n">
        <v>4</v>
      </c>
      <c r="F357" t="n">
        <v>3</v>
      </c>
      <c r="G357" t="n">
        <v>8</v>
      </c>
      <c r="H357" s="22" t="n"/>
      <c r="I357" s="22" t="n"/>
      <c r="J357" s="22" t="n"/>
      <c r="K357" s="22" t="n"/>
      <c r="L357" s="22" t="n"/>
      <c r="M357" s="22" t="n"/>
      <c r="N357" s="22" t="n"/>
      <c r="O357" s="23">
        <f>IF(COUNT(H357:N357)=0,"",MAX(H357:N357))</f>
        <v/>
      </c>
      <c r="P357" s="24">
        <f>IF(O357="","",INDEX($H$3:$N$3,MATCH(O357,H357:N357,0)))</f>
        <v/>
      </c>
      <c r="Q357" s="23">
        <f>IF(Refino!$L$8="","",G357*Refino!$L$8*(1-RetCraft))</f>
        <v/>
      </c>
      <c r="R357" s="25">
        <f>IF(Artefatos!$L$28="","",Artefatos!$L$28*(1+TaxaCompra))</f>
        <v/>
      </c>
      <c r="S357">
        <f>IF(Artefatos!$M$28="","",Artefatos!$M$28)</f>
        <v/>
      </c>
      <c r="T357" s="25">
        <f>G357*Refino!$D$8+Artefatos!$F$28</f>
        <v/>
      </c>
      <c r="U357" s="25">
        <f>T357*0.1125*FeeCraft/100</f>
        <v/>
      </c>
      <c r="V357" s="23">
        <f>IF(OR(Q357="",R357=""),"",Q357+R357+U357)</f>
        <v/>
      </c>
      <c r="W357" s="23">
        <f>IF(O357="","",O357*(1-TaxaVenda))</f>
        <v/>
      </c>
      <c r="X357" s="26">
        <f>IF(OR(V357="",W357=""),"",W357-V357)</f>
        <v/>
      </c>
      <c r="Y357" s="27">
        <f>IF(X357="","",X357/V357)</f>
        <v/>
      </c>
    </row>
    <row r="358">
      <c r="A358" t="inlineStr">
        <is>
          <t>Demônio (Demon)|Botas|T4.4</t>
        </is>
      </c>
      <c r="B358" t="inlineStr">
        <is>
          <t>Demônio (Demon)</t>
        </is>
      </c>
      <c r="C358" t="inlineStr">
        <is>
          <t>Botas</t>
        </is>
      </c>
      <c r="D358" t="inlineStr">
        <is>
          <t>T4.4</t>
        </is>
      </c>
      <c r="E358" t="n">
        <v>4</v>
      </c>
      <c r="F358" t="n">
        <v>4</v>
      </c>
      <c r="G358" t="n">
        <v>8</v>
      </c>
      <c r="H358" s="22" t="n"/>
      <c r="I358" s="22" t="n"/>
      <c r="J358" s="22" t="n"/>
      <c r="K358" s="22" t="n"/>
      <c r="L358" s="22" t="n"/>
      <c r="M358" s="22" t="n"/>
      <c r="N358" s="22" t="n"/>
      <c r="O358" s="23">
        <f>IF(COUNT(H358:N358)=0,"",MAX(H358:N358))</f>
        <v/>
      </c>
      <c r="P358" s="24">
        <f>IF(O358="","",INDEX($H$3:$N$3,MATCH(O358,H358:N358,0)))</f>
        <v/>
      </c>
      <c r="Q358" s="23">
        <f>IF(Refino!$L$9="","",G358*Refino!$L$9*(1-RetCraft))</f>
        <v/>
      </c>
      <c r="R358" s="25">
        <f>IF(Artefatos!$L$28="","",Artefatos!$L$28*(1+TaxaCompra))</f>
        <v/>
      </c>
      <c r="S358">
        <f>IF(Artefatos!$M$28="","",Artefatos!$M$28)</f>
        <v/>
      </c>
      <c r="T358" s="25">
        <f>G358*Refino!$D$9+Artefatos!$F$28</f>
        <v/>
      </c>
      <c r="U358" s="25">
        <f>T358*0.1125*FeeCraft/100</f>
        <v/>
      </c>
      <c r="V358" s="23">
        <f>IF(OR(Q358="",R358=""),"",Q358+R358+U358)</f>
        <v/>
      </c>
      <c r="W358" s="23">
        <f>IF(O358="","",O358*(1-TaxaVenda))</f>
        <v/>
      </c>
      <c r="X358" s="26">
        <f>IF(OR(V358="",W358=""),"",W358-V358)</f>
        <v/>
      </c>
      <c r="Y358" s="27">
        <f>IF(X358="","",X358/V358)</f>
        <v/>
      </c>
    </row>
    <row r="359">
      <c r="A359" t="inlineStr">
        <is>
          <t>Demônio (Demon)|Botas|T5.0</t>
        </is>
      </c>
      <c r="B359" t="inlineStr">
        <is>
          <t>Demônio (Demon)</t>
        </is>
      </c>
      <c r="C359" t="inlineStr">
        <is>
          <t>Botas</t>
        </is>
      </c>
      <c r="D359" t="inlineStr">
        <is>
          <t>T5.0</t>
        </is>
      </c>
      <c r="E359" t="n">
        <v>5</v>
      </c>
      <c r="F359" t="n">
        <v>0</v>
      </c>
      <c r="G359" t="n">
        <v>8</v>
      </c>
      <c r="H359" s="22" t="n"/>
      <c r="I359" s="22" t="n"/>
      <c r="J359" s="22" t="n"/>
      <c r="K359" s="22" t="n"/>
      <c r="L359" s="22" t="n"/>
      <c r="M359" s="22" t="n"/>
      <c r="N359" s="22" t="n"/>
      <c r="O359" s="23">
        <f>IF(COUNT(H359:N359)=0,"",MAX(H359:N359))</f>
        <v/>
      </c>
      <c r="P359" s="24">
        <f>IF(O359="","",INDEX($H$3:$N$3,MATCH(O359,H359:N359,0)))</f>
        <v/>
      </c>
      <c r="Q359" s="23">
        <f>IF(Refino!$L$10="","",G359*Refino!$L$10*(1-RetCraft))</f>
        <v/>
      </c>
      <c r="R359" s="25">
        <f>IF(Artefatos!$L$29="","",Artefatos!$L$29*(1+TaxaCompra))</f>
        <v/>
      </c>
      <c r="S359">
        <f>IF(Artefatos!$M$29="","",Artefatos!$M$29)</f>
        <v/>
      </c>
      <c r="T359" s="25">
        <f>G359*Refino!$D$10+Artefatos!$F$29</f>
        <v/>
      </c>
      <c r="U359" s="25">
        <f>T359*0.1125*FeeCraft/100</f>
        <v/>
      </c>
      <c r="V359" s="23">
        <f>IF(OR(Q359="",R359=""),"",Q359+R359+U359)</f>
        <v/>
      </c>
      <c r="W359" s="23">
        <f>IF(O359="","",O359*(1-TaxaVenda))</f>
        <v/>
      </c>
      <c r="X359" s="26">
        <f>IF(OR(V359="",W359=""),"",W359-V359)</f>
        <v/>
      </c>
      <c r="Y359" s="27">
        <f>IF(X359="","",X359/V359)</f>
        <v/>
      </c>
    </row>
    <row r="360">
      <c r="A360" t="inlineStr">
        <is>
          <t>Demônio (Demon)|Botas|T5.1</t>
        </is>
      </c>
      <c r="B360" t="inlineStr">
        <is>
          <t>Demônio (Demon)</t>
        </is>
      </c>
      <c r="C360" t="inlineStr">
        <is>
          <t>Botas</t>
        </is>
      </c>
      <c r="D360" t="inlineStr">
        <is>
          <t>T5.1</t>
        </is>
      </c>
      <c r="E360" t="n">
        <v>5</v>
      </c>
      <c r="F360" t="n">
        <v>1</v>
      </c>
      <c r="G360" t="n">
        <v>8</v>
      </c>
      <c r="H360" s="22" t="n"/>
      <c r="I360" s="22" t="n"/>
      <c r="J360" s="22" t="n"/>
      <c r="K360" s="22" t="n"/>
      <c r="L360" s="22" t="n"/>
      <c r="M360" s="22" t="n"/>
      <c r="N360" s="22" t="n"/>
      <c r="O360" s="23">
        <f>IF(COUNT(H360:N360)=0,"",MAX(H360:N360))</f>
        <v/>
      </c>
      <c r="P360" s="24">
        <f>IF(O360="","",INDEX($H$3:$N$3,MATCH(O360,H360:N360,0)))</f>
        <v/>
      </c>
      <c r="Q360" s="23">
        <f>IF(Refino!$L$11="","",G360*Refino!$L$11*(1-RetCraft))</f>
        <v/>
      </c>
      <c r="R360" s="25">
        <f>IF(Artefatos!$L$29="","",Artefatos!$L$29*(1+TaxaCompra))</f>
        <v/>
      </c>
      <c r="S360">
        <f>IF(Artefatos!$M$29="","",Artefatos!$M$29)</f>
        <v/>
      </c>
      <c r="T360" s="25">
        <f>G360*Refino!$D$11+Artefatos!$F$29</f>
        <v/>
      </c>
      <c r="U360" s="25">
        <f>T360*0.1125*FeeCraft/100</f>
        <v/>
      </c>
      <c r="V360" s="23">
        <f>IF(OR(Q360="",R360=""),"",Q360+R360+U360)</f>
        <v/>
      </c>
      <c r="W360" s="23">
        <f>IF(O360="","",O360*(1-TaxaVenda))</f>
        <v/>
      </c>
      <c r="X360" s="26">
        <f>IF(OR(V360="",W360=""),"",W360-V360)</f>
        <v/>
      </c>
      <c r="Y360" s="27">
        <f>IF(X360="","",X360/V360)</f>
        <v/>
      </c>
    </row>
    <row r="361">
      <c r="A361" t="inlineStr">
        <is>
          <t>Demônio (Demon)|Botas|T5.2</t>
        </is>
      </c>
      <c r="B361" t="inlineStr">
        <is>
          <t>Demônio (Demon)</t>
        </is>
      </c>
      <c r="C361" t="inlineStr">
        <is>
          <t>Botas</t>
        </is>
      </c>
      <c r="D361" t="inlineStr">
        <is>
          <t>T5.2</t>
        </is>
      </c>
      <c r="E361" t="n">
        <v>5</v>
      </c>
      <c r="F361" t="n">
        <v>2</v>
      </c>
      <c r="G361" t="n">
        <v>8</v>
      </c>
      <c r="H361" s="22" t="n"/>
      <c r="I361" s="22" t="n"/>
      <c r="J361" s="22" t="n"/>
      <c r="K361" s="22" t="n"/>
      <c r="L361" s="22" t="n"/>
      <c r="M361" s="22" t="n"/>
      <c r="N361" s="22" t="n"/>
      <c r="O361" s="23">
        <f>IF(COUNT(H361:N361)=0,"",MAX(H361:N361))</f>
        <v/>
      </c>
      <c r="P361" s="24">
        <f>IF(O361="","",INDEX($H$3:$N$3,MATCH(O361,H361:N361,0)))</f>
        <v/>
      </c>
      <c r="Q361" s="23">
        <f>IF(Refino!$L$12="","",G361*Refino!$L$12*(1-RetCraft))</f>
        <v/>
      </c>
      <c r="R361" s="25">
        <f>IF(Artefatos!$L$29="","",Artefatos!$L$29*(1+TaxaCompra))</f>
        <v/>
      </c>
      <c r="S361">
        <f>IF(Artefatos!$M$29="","",Artefatos!$M$29)</f>
        <v/>
      </c>
      <c r="T361" s="25">
        <f>G361*Refino!$D$12+Artefatos!$F$29</f>
        <v/>
      </c>
      <c r="U361" s="25">
        <f>T361*0.1125*FeeCraft/100</f>
        <v/>
      </c>
      <c r="V361" s="23">
        <f>IF(OR(Q361="",R361=""),"",Q361+R361+U361)</f>
        <v/>
      </c>
      <c r="W361" s="23">
        <f>IF(O361="","",O361*(1-TaxaVenda))</f>
        <v/>
      </c>
      <c r="X361" s="26">
        <f>IF(OR(V361="",W361=""),"",W361-V361)</f>
        <v/>
      </c>
      <c r="Y361" s="27">
        <f>IF(X361="","",X361/V361)</f>
        <v/>
      </c>
    </row>
    <row r="362">
      <c r="A362" t="inlineStr">
        <is>
          <t>Demônio (Demon)|Botas|T5.3</t>
        </is>
      </c>
      <c r="B362" t="inlineStr">
        <is>
          <t>Demônio (Demon)</t>
        </is>
      </c>
      <c r="C362" t="inlineStr">
        <is>
          <t>Botas</t>
        </is>
      </c>
      <c r="D362" t="inlineStr">
        <is>
          <t>T5.3</t>
        </is>
      </c>
      <c r="E362" t="n">
        <v>5</v>
      </c>
      <c r="F362" t="n">
        <v>3</v>
      </c>
      <c r="G362" t="n">
        <v>8</v>
      </c>
      <c r="H362" s="22" t="n"/>
      <c r="I362" s="22" t="n"/>
      <c r="J362" s="22" t="n"/>
      <c r="K362" s="22" t="n"/>
      <c r="L362" s="22" t="n"/>
      <c r="M362" s="22" t="n"/>
      <c r="N362" s="22" t="n"/>
      <c r="O362" s="23">
        <f>IF(COUNT(H362:N362)=0,"",MAX(H362:N362))</f>
        <v/>
      </c>
      <c r="P362" s="24">
        <f>IF(O362="","",INDEX($H$3:$N$3,MATCH(O362,H362:N362,0)))</f>
        <v/>
      </c>
      <c r="Q362" s="23">
        <f>IF(Refino!$L$13="","",G362*Refino!$L$13*(1-RetCraft))</f>
        <v/>
      </c>
      <c r="R362" s="25">
        <f>IF(Artefatos!$L$29="","",Artefatos!$L$29*(1+TaxaCompra))</f>
        <v/>
      </c>
      <c r="S362">
        <f>IF(Artefatos!$M$29="","",Artefatos!$M$29)</f>
        <v/>
      </c>
      <c r="T362" s="25">
        <f>G362*Refino!$D$13+Artefatos!$F$29</f>
        <v/>
      </c>
      <c r="U362" s="25">
        <f>T362*0.1125*FeeCraft/100</f>
        <v/>
      </c>
      <c r="V362" s="23">
        <f>IF(OR(Q362="",R362=""),"",Q362+R362+U362)</f>
        <v/>
      </c>
      <c r="W362" s="23">
        <f>IF(O362="","",O362*(1-TaxaVenda))</f>
        <v/>
      </c>
      <c r="X362" s="26">
        <f>IF(OR(V362="",W362=""),"",W362-V362)</f>
        <v/>
      </c>
      <c r="Y362" s="27">
        <f>IF(X362="","",X362/V362)</f>
        <v/>
      </c>
    </row>
    <row r="363">
      <c r="A363" t="inlineStr">
        <is>
          <t>Demônio (Demon)|Botas|T5.4</t>
        </is>
      </c>
      <c r="B363" t="inlineStr">
        <is>
          <t>Demônio (Demon)</t>
        </is>
      </c>
      <c r="C363" t="inlineStr">
        <is>
          <t>Botas</t>
        </is>
      </c>
      <c r="D363" t="inlineStr">
        <is>
          <t>T5.4</t>
        </is>
      </c>
      <c r="E363" t="n">
        <v>5</v>
      </c>
      <c r="F363" t="n">
        <v>4</v>
      </c>
      <c r="G363" t="n">
        <v>8</v>
      </c>
      <c r="H363" s="22" t="n"/>
      <c r="I363" s="22" t="n"/>
      <c r="J363" s="22" t="n"/>
      <c r="K363" s="22" t="n"/>
      <c r="L363" s="22" t="n"/>
      <c r="M363" s="22" t="n"/>
      <c r="N363" s="22" t="n"/>
      <c r="O363" s="23">
        <f>IF(COUNT(H363:N363)=0,"",MAX(H363:N363))</f>
        <v/>
      </c>
      <c r="P363" s="24">
        <f>IF(O363="","",INDEX($H$3:$N$3,MATCH(O363,H363:N363,0)))</f>
        <v/>
      </c>
      <c r="Q363" s="23">
        <f>IF(Refino!$L$14="","",G363*Refino!$L$14*(1-RetCraft))</f>
        <v/>
      </c>
      <c r="R363" s="25">
        <f>IF(Artefatos!$L$29="","",Artefatos!$L$29*(1+TaxaCompra))</f>
        <v/>
      </c>
      <c r="S363">
        <f>IF(Artefatos!$M$29="","",Artefatos!$M$29)</f>
        <v/>
      </c>
      <c r="T363" s="25">
        <f>G363*Refino!$D$14+Artefatos!$F$29</f>
        <v/>
      </c>
      <c r="U363" s="25">
        <f>T363*0.1125*FeeCraft/100</f>
        <v/>
      </c>
      <c r="V363" s="23">
        <f>IF(OR(Q363="",R363=""),"",Q363+R363+U363)</f>
        <v/>
      </c>
      <c r="W363" s="23">
        <f>IF(O363="","",O363*(1-TaxaVenda))</f>
        <v/>
      </c>
      <c r="X363" s="26">
        <f>IF(OR(V363="",W363=""),"",W363-V363)</f>
        <v/>
      </c>
      <c r="Y363" s="27">
        <f>IF(X363="","",X363/V363)</f>
        <v/>
      </c>
    </row>
    <row r="364">
      <c r="A364" t="inlineStr">
        <is>
          <t>Demônio (Demon)|Botas|T6.0</t>
        </is>
      </c>
      <c r="B364" t="inlineStr">
        <is>
          <t>Demônio (Demon)</t>
        </is>
      </c>
      <c r="C364" t="inlineStr">
        <is>
          <t>Botas</t>
        </is>
      </c>
      <c r="D364" t="inlineStr">
        <is>
          <t>T6.0</t>
        </is>
      </c>
      <c r="E364" t="n">
        <v>6</v>
      </c>
      <c r="F364" t="n">
        <v>0</v>
      </c>
      <c r="G364" t="n">
        <v>8</v>
      </c>
      <c r="H364" s="22" t="n"/>
      <c r="I364" s="22" t="n"/>
      <c r="J364" s="22" t="n"/>
      <c r="K364" s="22" t="n"/>
      <c r="L364" s="22" t="n"/>
      <c r="M364" s="22" t="n"/>
      <c r="N364" s="22" t="n"/>
      <c r="O364" s="23">
        <f>IF(COUNT(H364:N364)=0,"",MAX(H364:N364))</f>
        <v/>
      </c>
      <c r="P364" s="24">
        <f>IF(O364="","",INDEX($H$3:$N$3,MATCH(O364,H364:N364,0)))</f>
        <v/>
      </c>
      <c r="Q364" s="23">
        <f>IF(Refino!$L$15="","",G364*Refino!$L$15*(1-RetCraft))</f>
        <v/>
      </c>
      <c r="R364" s="25">
        <f>IF(Artefatos!$L$30="","",Artefatos!$L$30*(1+TaxaCompra))</f>
        <v/>
      </c>
      <c r="S364">
        <f>IF(Artefatos!$M$30="","",Artefatos!$M$30)</f>
        <v/>
      </c>
      <c r="T364" s="25">
        <f>G364*Refino!$D$15+Artefatos!$F$30</f>
        <v/>
      </c>
      <c r="U364" s="25">
        <f>T364*0.1125*FeeCraft/100</f>
        <v/>
      </c>
      <c r="V364" s="23">
        <f>IF(OR(Q364="",R364=""),"",Q364+R364+U364)</f>
        <v/>
      </c>
      <c r="W364" s="23">
        <f>IF(O364="","",O364*(1-TaxaVenda))</f>
        <v/>
      </c>
      <c r="X364" s="26">
        <f>IF(OR(V364="",W364=""),"",W364-V364)</f>
        <v/>
      </c>
      <c r="Y364" s="27">
        <f>IF(X364="","",X364/V364)</f>
        <v/>
      </c>
    </row>
    <row r="365">
      <c r="A365" t="inlineStr">
        <is>
          <t>Demônio (Demon)|Botas|T6.1</t>
        </is>
      </c>
      <c r="B365" t="inlineStr">
        <is>
          <t>Demônio (Demon)</t>
        </is>
      </c>
      <c r="C365" t="inlineStr">
        <is>
          <t>Botas</t>
        </is>
      </c>
      <c r="D365" t="inlineStr">
        <is>
          <t>T6.1</t>
        </is>
      </c>
      <c r="E365" t="n">
        <v>6</v>
      </c>
      <c r="F365" t="n">
        <v>1</v>
      </c>
      <c r="G365" t="n">
        <v>8</v>
      </c>
      <c r="H365" s="22" t="n"/>
      <c r="I365" s="22" t="n"/>
      <c r="J365" s="22" t="n"/>
      <c r="K365" s="22" t="n"/>
      <c r="L365" s="22" t="n"/>
      <c r="M365" s="22" t="n"/>
      <c r="N365" s="22" t="n"/>
      <c r="O365" s="23">
        <f>IF(COUNT(H365:N365)=0,"",MAX(H365:N365))</f>
        <v/>
      </c>
      <c r="P365" s="24">
        <f>IF(O365="","",INDEX($H$3:$N$3,MATCH(O365,H365:N365,0)))</f>
        <v/>
      </c>
      <c r="Q365" s="23">
        <f>IF(Refino!$L$16="","",G365*Refino!$L$16*(1-RetCraft))</f>
        <v/>
      </c>
      <c r="R365" s="25">
        <f>IF(Artefatos!$L$30="","",Artefatos!$L$30*(1+TaxaCompra))</f>
        <v/>
      </c>
      <c r="S365">
        <f>IF(Artefatos!$M$30="","",Artefatos!$M$30)</f>
        <v/>
      </c>
      <c r="T365" s="25">
        <f>G365*Refino!$D$16+Artefatos!$F$30</f>
        <v/>
      </c>
      <c r="U365" s="25">
        <f>T365*0.1125*FeeCraft/100</f>
        <v/>
      </c>
      <c r="V365" s="23">
        <f>IF(OR(Q365="",R365=""),"",Q365+R365+U365)</f>
        <v/>
      </c>
      <c r="W365" s="23">
        <f>IF(O365="","",O365*(1-TaxaVenda))</f>
        <v/>
      </c>
      <c r="X365" s="26">
        <f>IF(OR(V365="",W365=""),"",W365-V365)</f>
        <v/>
      </c>
      <c r="Y365" s="27">
        <f>IF(X365="","",X365/V365)</f>
        <v/>
      </c>
    </row>
    <row r="366">
      <c r="A366" t="inlineStr">
        <is>
          <t>Demônio (Demon)|Botas|T6.2</t>
        </is>
      </c>
      <c r="B366" t="inlineStr">
        <is>
          <t>Demônio (Demon)</t>
        </is>
      </c>
      <c r="C366" t="inlineStr">
        <is>
          <t>Botas</t>
        </is>
      </c>
      <c r="D366" t="inlineStr">
        <is>
          <t>T6.2</t>
        </is>
      </c>
      <c r="E366" t="n">
        <v>6</v>
      </c>
      <c r="F366" t="n">
        <v>2</v>
      </c>
      <c r="G366" t="n">
        <v>8</v>
      </c>
      <c r="H366" s="22" t="n"/>
      <c r="I366" s="22" t="n"/>
      <c r="J366" s="22" t="n"/>
      <c r="K366" s="22" t="n"/>
      <c r="L366" s="22" t="n"/>
      <c r="M366" s="22" t="n"/>
      <c r="N366" s="22" t="n"/>
      <c r="O366" s="23">
        <f>IF(COUNT(H366:N366)=0,"",MAX(H366:N366))</f>
        <v/>
      </c>
      <c r="P366" s="24">
        <f>IF(O366="","",INDEX($H$3:$N$3,MATCH(O366,H366:N366,0)))</f>
        <v/>
      </c>
      <c r="Q366" s="23">
        <f>IF(Refino!$L$17="","",G366*Refino!$L$17*(1-RetCraft))</f>
        <v/>
      </c>
      <c r="R366" s="25">
        <f>IF(Artefatos!$L$30="","",Artefatos!$L$30*(1+TaxaCompra))</f>
        <v/>
      </c>
      <c r="S366">
        <f>IF(Artefatos!$M$30="","",Artefatos!$M$30)</f>
        <v/>
      </c>
      <c r="T366" s="25">
        <f>G366*Refino!$D$17+Artefatos!$F$30</f>
        <v/>
      </c>
      <c r="U366" s="25">
        <f>T366*0.1125*FeeCraft/100</f>
        <v/>
      </c>
      <c r="V366" s="23">
        <f>IF(OR(Q366="",R366=""),"",Q366+R366+U366)</f>
        <v/>
      </c>
      <c r="W366" s="23">
        <f>IF(O366="","",O366*(1-TaxaVenda))</f>
        <v/>
      </c>
      <c r="X366" s="26">
        <f>IF(OR(V366="",W366=""),"",W366-V366)</f>
        <v/>
      </c>
      <c r="Y366" s="27">
        <f>IF(X366="","",X366/V366)</f>
        <v/>
      </c>
    </row>
    <row r="367">
      <c r="A367" t="inlineStr">
        <is>
          <t>Demônio (Demon)|Botas|T6.3</t>
        </is>
      </c>
      <c r="B367" t="inlineStr">
        <is>
          <t>Demônio (Demon)</t>
        </is>
      </c>
      <c r="C367" t="inlineStr">
        <is>
          <t>Botas</t>
        </is>
      </c>
      <c r="D367" t="inlineStr">
        <is>
          <t>T6.3</t>
        </is>
      </c>
      <c r="E367" t="n">
        <v>6</v>
      </c>
      <c r="F367" t="n">
        <v>3</v>
      </c>
      <c r="G367" t="n">
        <v>8</v>
      </c>
      <c r="H367" s="22" t="n"/>
      <c r="I367" s="22" t="n"/>
      <c r="J367" s="22" t="n"/>
      <c r="K367" s="22" t="n"/>
      <c r="L367" s="22" t="n"/>
      <c r="M367" s="22" t="n"/>
      <c r="N367" s="22" t="n"/>
      <c r="O367" s="23">
        <f>IF(COUNT(H367:N367)=0,"",MAX(H367:N367))</f>
        <v/>
      </c>
      <c r="P367" s="24">
        <f>IF(O367="","",INDEX($H$3:$N$3,MATCH(O367,H367:N367,0)))</f>
        <v/>
      </c>
      <c r="Q367" s="23">
        <f>IF(Refino!$L$18="","",G367*Refino!$L$18*(1-RetCraft))</f>
        <v/>
      </c>
      <c r="R367" s="25">
        <f>IF(Artefatos!$L$30="","",Artefatos!$L$30*(1+TaxaCompra))</f>
        <v/>
      </c>
      <c r="S367">
        <f>IF(Artefatos!$M$30="","",Artefatos!$M$30)</f>
        <v/>
      </c>
      <c r="T367" s="25">
        <f>G367*Refino!$D$18+Artefatos!$F$30</f>
        <v/>
      </c>
      <c r="U367" s="25">
        <f>T367*0.1125*FeeCraft/100</f>
        <v/>
      </c>
      <c r="V367" s="23">
        <f>IF(OR(Q367="",R367=""),"",Q367+R367+U367)</f>
        <v/>
      </c>
      <c r="W367" s="23">
        <f>IF(O367="","",O367*(1-TaxaVenda))</f>
        <v/>
      </c>
      <c r="X367" s="26">
        <f>IF(OR(V367="",W367=""),"",W367-V367)</f>
        <v/>
      </c>
      <c r="Y367" s="27">
        <f>IF(X367="","",X367/V367)</f>
        <v/>
      </c>
    </row>
    <row r="368">
      <c r="A368" t="inlineStr">
        <is>
          <t>Demônio (Demon)|Botas|T6.4</t>
        </is>
      </c>
      <c r="B368" t="inlineStr">
        <is>
          <t>Demônio (Demon)</t>
        </is>
      </c>
      <c r="C368" t="inlineStr">
        <is>
          <t>Botas</t>
        </is>
      </c>
      <c r="D368" t="inlineStr">
        <is>
          <t>T6.4</t>
        </is>
      </c>
      <c r="E368" t="n">
        <v>6</v>
      </c>
      <c r="F368" t="n">
        <v>4</v>
      </c>
      <c r="G368" t="n">
        <v>8</v>
      </c>
      <c r="H368" s="22" t="n"/>
      <c r="I368" s="22" t="n"/>
      <c r="J368" s="22" t="n"/>
      <c r="K368" s="22" t="n"/>
      <c r="L368" s="22" t="n"/>
      <c r="M368" s="22" t="n"/>
      <c r="N368" s="22" t="n"/>
      <c r="O368" s="23">
        <f>IF(COUNT(H368:N368)=0,"",MAX(H368:N368))</f>
        <v/>
      </c>
      <c r="P368" s="24">
        <f>IF(O368="","",INDEX($H$3:$N$3,MATCH(O368,H368:N368,0)))</f>
        <v/>
      </c>
      <c r="Q368" s="23">
        <f>IF(Refino!$L$19="","",G368*Refino!$L$19*(1-RetCraft))</f>
        <v/>
      </c>
      <c r="R368" s="25">
        <f>IF(Artefatos!$L$30="","",Artefatos!$L$30*(1+TaxaCompra))</f>
        <v/>
      </c>
      <c r="S368">
        <f>IF(Artefatos!$M$30="","",Artefatos!$M$30)</f>
        <v/>
      </c>
      <c r="T368" s="25">
        <f>G368*Refino!$D$19+Artefatos!$F$30</f>
        <v/>
      </c>
      <c r="U368" s="25">
        <f>T368*0.1125*FeeCraft/100</f>
        <v/>
      </c>
      <c r="V368" s="23">
        <f>IF(OR(Q368="",R368=""),"",Q368+R368+U368)</f>
        <v/>
      </c>
      <c r="W368" s="23">
        <f>IF(O368="","",O368*(1-TaxaVenda))</f>
        <v/>
      </c>
      <c r="X368" s="26">
        <f>IF(OR(V368="",W368=""),"",W368-V368)</f>
        <v/>
      </c>
      <c r="Y368" s="27">
        <f>IF(X368="","",X368/V368)</f>
        <v/>
      </c>
    </row>
    <row r="369">
      <c r="A369" t="inlineStr">
        <is>
          <t>Demônio (Demon)|Botas|T7.0</t>
        </is>
      </c>
      <c r="B369" t="inlineStr">
        <is>
          <t>Demônio (Demon)</t>
        </is>
      </c>
      <c r="C369" t="inlineStr">
        <is>
          <t>Botas</t>
        </is>
      </c>
      <c r="D369" t="inlineStr">
        <is>
          <t>T7.0</t>
        </is>
      </c>
      <c r="E369" t="n">
        <v>7</v>
      </c>
      <c r="F369" t="n">
        <v>0</v>
      </c>
      <c r="G369" t="n">
        <v>8</v>
      </c>
      <c r="H369" s="22" t="n"/>
      <c r="I369" s="22" t="n"/>
      <c r="J369" s="22" t="n"/>
      <c r="K369" s="22" t="n"/>
      <c r="L369" s="22" t="n"/>
      <c r="M369" s="22" t="n"/>
      <c r="N369" s="22" t="n"/>
      <c r="O369" s="23">
        <f>IF(COUNT(H369:N369)=0,"",MAX(H369:N369))</f>
        <v/>
      </c>
      <c r="P369" s="24">
        <f>IF(O369="","",INDEX($H$3:$N$3,MATCH(O369,H369:N369,0)))</f>
        <v/>
      </c>
      <c r="Q369" s="23">
        <f>IF(Refino!$L$20="","",G369*Refino!$L$20*(1-RetCraft))</f>
        <v/>
      </c>
      <c r="R369" s="25">
        <f>IF(Artefatos!$L$31="","",Artefatos!$L$31*(1+TaxaCompra))</f>
        <v/>
      </c>
      <c r="S369">
        <f>IF(Artefatos!$M$31="","",Artefatos!$M$31)</f>
        <v/>
      </c>
      <c r="T369" s="25">
        <f>G369*Refino!$D$20+Artefatos!$F$31</f>
        <v/>
      </c>
      <c r="U369" s="25">
        <f>T369*0.1125*FeeCraft/100</f>
        <v/>
      </c>
      <c r="V369" s="23">
        <f>IF(OR(Q369="",R369=""),"",Q369+R369+U369)</f>
        <v/>
      </c>
      <c r="W369" s="23">
        <f>IF(O369="","",O369*(1-TaxaVenda))</f>
        <v/>
      </c>
      <c r="X369" s="26">
        <f>IF(OR(V369="",W369=""),"",W369-V369)</f>
        <v/>
      </c>
      <c r="Y369" s="27">
        <f>IF(X369="","",X369/V369)</f>
        <v/>
      </c>
    </row>
    <row r="370">
      <c r="A370" t="inlineStr">
        <is>
          <t>Demônio (Demon)|Botas|T7.1</t>
        </is>
      </c>
      <c r="B370" t="inlineStr">
        <is>
          <t>Demônio (Demon)</t>
        </is>
      </c>
      <c r="C370" t="inlineStr">
        <is>
          <t>Botas</t>
        </is>
      </c>
      <c r="D370" t="inlineStr">
        <is>
          <t>T7.1</t>
        </is>
      </c>
      <c r="E370" t="n">
        <v>7</v>
      </c>
      <c r="F370" t="n">
        <v>1</v>
      </c>
      <c r="G370" t="n">
        <v>8</v>
      </c>
      <c r="H370" s="22" t="n"/>
      <c r="I370" s="22" t="n"/>
      <c r="J370" s="22" t="n"/>
      <c r="K370" s="22" t="n"/>
      <c r="L370" s="22" t="n"/>
      <c r="M370" s="22" t="n"/>
      <c r="N370" s="22" t="n"/>
      <c r="O370" s="23">
        <f>IF(COUNT(H370:N370)=0,"",MAX(H370:N370))</f>
        <v/>
      </c>
      <c r="P370" s="24">
        <f>IF(O370="","",INDEX($H$3:$N$3,MATCH(O370,H370:N370,0)))</f>
        <v/>
      </c>
      <c r="Q370" s="23">
        <f>IF(Refino!$L$21="","",G370*Refino!$L$21*(1-RetCraft))</f>
        <v/>
      </c>
      <c r="R370" s="25">
        <f>IF(Artefatos!$L$31="","",Artefatos!$L$31*(1+TaxaCompra))</f>
        <v/>
      </c>
      <c r="S370">
        <f>IF(Artefatos!$M$31="","",Artefatos!$M$31)</f>
        <v/>
      </c>
      <c r="T370" s="25">
        <f>G370*Refino!$D$21+Artefatos!$F$31</f>
        <v/>
      </c>
      <c r="U370" s="25">
        <f>T370*0.1125*FeeCraft/100</f>
        <v/>
      </c>
      <c r="V370" s="23">
        <f>IF(OR(Q370="",R370=""),"",Q370+R370+U370)</f>
        <v/>
      </c>
      <c r="W370" s="23">
        <f>IF(O370="","",O370*(1-TaxaVenda))</f>
        <v/>
      </c>
      <c r="X370" s="26">
        <f>IF(OR(V370="",W370=""),"",W370-V370)</f>
        <v/>
      </c>
      <c r="Y370" s="27">
        <f>IF(X370="","",X370/V370)</f>
        <v/>
      </c>
    </row>
    <row r="371">
      <c r="A371" t="inlineStr">
        <is>
          <t>Demônio (Demon)|Botas|T7.2</t>
        </is>
      </c>
      <c r="B371" t="inlineStr">
        <is>
          <t>Demônio (Demon)</t>
        </is>
      </c>
      <c r="C371" t="inlineStr">
        <is>
          <t>Botas</t>
        </is>
      </c>
      <c r="D371" t="inlineStr">
        <is>
          <t>T7.2</t>
        </is>
      </c>
      <c r="E371" t="n">
        <v>7</v>
      </c>
      <c r="F371" t="n">
        <v>2</v>
      </c>
      <c r="G371" t="n">
        <v>8</v>
      </c>
      <c r="H371" s="22" t="n"/>
      <c r="I371" s="22" t="n"/>
      <c r="J371" s="22" t="n"/>
      <c r="K371" s="22" t="n"/>
      <c r="L371" s="22" t="n"/>
      <c r="M371" s="22" t="n"/>
      <c r="N371" s="22" t="n"/>
      <c r="O371" s="23">
        <f>IF(COUNT(H371:N371)=0,"",MAX(H371:N371))</f>
        <v/>
      </c>
      <c r="P371" s="24">
        <f>IF(O371="","",INDEX($H$3:$N$3,MATCH(O371,H371:N371,0)))</f>
        <v/>
      </c>
      <c r="Q371" s="23">
        <f>IF(Refino!$L$22="","",G371*Refino!$L$22*(1-RetCraft))</f>
        <v/>
      </c>
      <c r="R371" s="25">
        <f>IF(Artefatos!$L$31="","",Artefatos!$L$31*(1+TaxaCompra))</f>
        <v/>
      </c>
      <c r="S371">
        <f>IF(Artefatos!$M$31="","",Artefatos!$M$31)</f>
        <v/>
      </c>
      <c r="T371" s="25">
        <f>G371*Refino!$D$22+Artefatos!$F$31</f>
        <v/>
      </c>
      <c r="U371" s="25">
        <f>T371*0.1125*FeeCraft/100</f>
        <v/>
      </c>
      <c r="V371" s="23">
        <f>IF(OR(Q371="",R371=""),"",Q371+R371+U371)</f>
        <v/>
      </c>
      <c r="W371" s="23">
        <f>IF(O371="","",O371*(1-TaxaVenda))</f>
        <v/>
      </c>
      <c r="X371" s="26">
        <f>IF(OR(V371="",W371=""),"",W371-V371)</f>
        <v/>
      </c>
      <c r="Y371" s="27">
        <f>IF(X371="","",X371/V371)</f>
        <v/>
      </c>
    </row>
    <row r="372">
      <c r="A372" t="inlineStr">
        <is>
          <t>Demônio (Demon)|Botas|T7.3</t>
        </is>
      </c>
      <c r="B372" t="inlineStr">
        <is>
          <t>Demônio (Demon)</t>
        </is>
      </c>
      <c r="C372" t="inlineStr">
        <is>
          <t>Botas</t>
        </is>
      </c>
      <c r="D372" t="inlineStr">
        <is>
          <t>T7.3</t>
        </is>
      </c>
      <c r="E372" t="n">
        <v>7</v>
      </c>
      <c r="F372" t="n">
        <v>3</v>
      </c>
      <c r="G372" t="n">
        <v>8</v>
      </c>
      <c r="H372" s="22" t="n"/>
      <c r="I372" s="22" t="n"/>
      <c r="J372" s="22" t="n"/>
      <c r="K372" s="22" t="n"/>
      <c r="L372" s="22" t="n"/>
      <c r="M372" s="22" t="n"/>
      <c r="N372" s="22" t="n"/>
      <c r="O372" s="23">
        <f>IF(COUNT(H372:N372)=0,"",MAX(H372:N372))</f>
        <v/>
      </c>
      <c r="P372" s="24">
        <f>IF(O372="","",INDEX($H$3:$N$3,MATCH(O372,H372:N372,0)))</f>
        <v/>
      </c>
      <c r="Q372" s="23">
        <f>IF(Refino!$L$23="","",G372*Refino!$L$23*(1-RetCraft))</f>
        <v/>
      </c>
      <c r="R372" s="25">
        <f>IF(Artefatos!$L$31="","",Artefatos!$L$31*(1+TaxaCompra))</f>
        <v/>
      </c>
      <c r="S372">
        <f>IF(Artefatos!$M$31="","",Artefatos!$M$31)</f>
        <v/>
      </c>
      <c r="T372" s="25">
        <f>G372*Refino!$D$23+Artefatos!$F$31</f>
        <v/>
      </c>
      <c r="U372" s="25">
        <f>T372*0.1125*FeeCraft/100</f>
        <v/>
      </c>
      <c r="V372" s="23">
        <f>IF(OR(Q372="",R372=""),"",Q372+R372+U372)</f>
        <v/>
      </c>
      <c r="W372" s="23">
        <f>IF(O372="","",O372*(1-TaxaVenda))</f>
        <v/>
      </c>
      <c r="X372" s="26">
        <f>IF(OR(V372="",W372=""),"",W372-V372)</f>
        <v/>
      </c>
      <c r="Y372" s="27">
        <f>IF(X372="","",X372/V372)</f>
        <v/>
      </c>
    </row>
    <row r="373">
      <c r="A373" t="inlineStr">
        <is>
          <t>Demônio (Demon)|Botas|T7.4</t>
        </is>
      </c>
      <c r="B373" t="inlineStr">
        <is>
          <t>Demônio (Demon)</t>
        </is>
      </c>
      <c r="C373" t="inlineStr">
        <is>
          <t>Botas</t>
        </is>
      </c>
      <c r="D373" t="inlineStr">
        <is>
          <t>T7.4</t>
        </is>
      </c>
      <c r="E373" t="n">
        <v>7</v>
      </c>
      <c r="F373" t="n">
        <v>4</v>
      </c>
      <c r="G373" t="n">
        <v>8</v>
      </c>
      <c r="H373" s="22" t="n"/>
      <c r="I373" s="22" t="n"/>
      <c r="J373" s="22" t="n"/>
      <c r="K373" s="22" t="n"/>
      <c r="L373" s="22" t="n"/>
      <c r="M373" s="22" t="n"/>
      <c r="N373" s="22" t="n"/>
      <c r="O373" s="23">
        <f>IF(COUNT(H373:N373)=0,"",MAX(H373:N373))</f>
        <v/>
      </c>
      <c r="P373" s="24">
        <f>IF(O373="","",INDEX($H$3:$N$3,MATCH(O373,H373:N373,0)))</f>
        <v/>
      </c>
      <c r="Q373" s="23">
        <f>IF(Refino!$L$24="","",G373*Refino!$L$24*(1-RetCraft))</f>
        <v/>
      </c>
      <c r="R373" s="25">
        <f>IF(Artefatos!$L$31="","",Artefatos!$L$31*(1+TaxaCompra))</f>
        <v/>
      </c>
      <c r="S373">
        <f>IF(Artefatos!$M$31="","",Artefatos!$M$31)</f>
        <v/>
      </c>
      <c r="T373" s="25">
        <f>G373*Refino!$D$24+Artefatos!$F$31</f>
        <v/>
      </c>
      <c r="U373" s="25">
        <f>T373*0.1125*FeeCraft/100</f>
        <v/>
      </c>
      <c r="V373" s="23">
        <f>IF(OR(Q373="",R373=""),"",Q373+R373+U373)</f>
        <v/>
      </c>
      <c r="W373" s="23">
        <f>IF(O373="","",O373*(1-TaxaVenda))</f>
        <v/>
      </c>
      <c r="X373" s="26">
        <f>IF(OR(V373="",W373=""),"",W373-V373)</f>
        <v/>
      </c>
      <c r="Y373" s="27">
        <f>IF(X373="","",X373/V373)</f>
        <v/>
      </c>
    </row>
    <row r="374">
      <c r="A374" t="inlineStr">
        <is>
          <t>Demônio (Demon)|Botas|T8.0</t>
        </is>
      </c>
      <c r="B374" t="inlineStr">
        <is>
          <t>Demônio (Demon)</t>
        </is>
      </c>
      <c r="C374" t="inlineStr">
        <is>
          <t>Botas</t>
        </is>
      </c>
      <c r="D374" t="inlineStr">
        <is>
          <t>T8.0</t>
        </is>
      </c>
      <c r="E374" t="n">
        <v>8</v>
      </c>
      <c r="F374" t="n">
        <v>0</v>
      </c>
      <c r="G374" t="n">
        <v>8</v>
      </c>
      <c r="H374" s="22" t="n"/>
      <c r="I374" s="22" t="n"/>
      <c r="J374" s="22" t="n"/>
      <c r="K374" s="22" t="n"/>
      <c r="L374" s="22" t="n"/>
      <c r="M374" s="22" t="n"/>
      <c r="N374" s="22" t="n"/>
      <c r="O374" s="23">
        <f>IF(COUNT(H374:N374)=0,"",MAX(H374:N374))</f>
        <v/>
      </c>
      <c r="P374" s="24">
        <f>IF(O374="","",INDEX($H$3:$N$3,MATCH(O374,H374:N374,0)))</f>
        <v/>
      </c>
      <c r="Q374" s="23">
        <f>IF(Refino!$L$25="","",G374*Refino!$L$25*(1-RetCraft))</f>
        <v/>
      </c>
      <c r="R374" s="25">
        <f>IF(Artefatos!$L$32="","",Artefatos!$L$32*(1+TaxaCompra))</f>
        <v/>
      </c>
      <c r="S374">
        <f>IF(Artefatos!$M$32="","",Artefatos!$M$32)</f>
        <v/>
      </c>
      <c r="T374" s="25">
        <f>G374*Refino!$D$25+Artefatos!$F$32</f>
        <v/>
      </c>
      <c r="U374" s="25">
        <f>T374*0.1125*FeeCraft/100</f>
        <v/>
      </c>
      <c r="V374" s="23">
        <f>IF(OR(Q374="",R374=""),"",Q374+R374+U374)</f>
        <v/>
      </c>
      <c r="W374" s="23">
        <f>IF(O374="","",O374*(1-TaxaVenda))</f>
        <v/>
      </c>
      <c r="X374" s="26">
        <f>IF(OR(V374="",W374=""),"",W374-V374)</f>
        <v/>
      </c>
      <c r="Y374" s="27">
        <f>IF(X374="","",X374/V374)</f>
        <v/>
      </c>
    </row>
    <row r="375">
      <c r="A375" t="inlineStr">
        <is>
          <t>Demônio (Demon)|Botas|T8.1</t>
        </is>
      </c>
      <c r="B375" t="inlineStr">
        <is>
          <t>Demônio (Demon)</t>
        </is>
      </c>
      <c r="C375" t="inlineStr">
        <is>
          <t>Botas</t>
        </is>
      </c>
      <c r="D375" t="inlineStr">
        <is>
          <t>T8.1</t>
        </is>
      </c>
      <c r="E375" t="n">
        <v>8</v>
      </c>
      <c r="F375" t="n">
        <v>1</v>
      </c>
      <c r="G375" t="n">
        <v>8</v>
      </c>
      <c r="H375" s="22" t="n"/>
      <c r="I375" s="22" t="n"/>
      <c r="J375" s="22" t="n"/>
      <c r="K375" s="22" t="n"/>
      <c r="L375" s="22" t="n"/>
      <c r="M375" s="22" t="n"/>
      <c r="N375" s="22" t="n"/>
      <c r="O375" s="23">
        <f>IF(COUNT(H375:N375)=0,"",MAX(H375:N375))</f>
        <v/>
      </c>
      <c r="P375" s="24">
        <f>IF(O375="","",INDEX($H$3:$N$3,MATCH(O375,H375:N375,0)))</f>
        <v/>
      </c>
      <c r="Q375" s="23">
        <f>IF(Refino!$L$26="","",G375*Refino!$L$26*(1-RetCraft))</f>
        <v/>
      </c>
      <c r="R375" s="25">
        <f>IF(Artefatos!$L$32="","",Artefatos!$L$32*(1+TaxaCompra))</f>
        <v/>
      </c>
      <c r="S375">
        <f>IF(Artefatos!$M$32="","",Artefatos!$M$32)</f>
        <v/>
      </c>
      <c r="T375" s="25">
        <f>G375*Refino!$D$26+Artefatos!$F$32</f>
        <v/>
      </c>
      <c r="U375" s="25">
        <f>T375*0.1125*FeeCraft/100</f>
        <v/>
      </c>
      <c r="V375" s="23">
        <f>IF(OR(Q375="",R375=""),"",Q375+R375+U375)</f>
        <v/>
      </c>
      <c r="W375" s="23">
        <f>IF(O375="","",O375*(1-TaxaVenda))</f>
        <v/>
      </c>
      <c r="X375" s="26">
        <f>IF(OR(V375="",W375=""),"",W375-V375)</f>
        <v/>
      </c>
      <c r="Y375" s="27">
        <f>IF(X375="","",X375/V375)</f>
        <v/>
      </c>
    </row>
    <row r="376">
      <c r="A376" t="inlineStr">
        <is>
          <t>Demônio (Demon)|Botas|T8.2</t>
        </is>
      </c>
      <c r="B376" t="inlineStr">
        <is>
          <t>Demônio (Demon)</t>
        </is>
      </c>
      <c r="C376" t="inlineStr">
        <is>
          <t>Botas</t>
        </is>
      </c>
      <c r="D376" t="inlineStr">
        <is>
          <t>T8.2</t>
        </is>
      </c>
      <c r="E376" t="n">
        <v>8</v>
      </c>
      <c r="F376" t="n">
        <v>2</v>
      </c>
      <c r="G376" t="n">
        <v>8</v>
      </c>
      <c r="H376" s="22" t="n"/>
      <c r="I376" s="22" t="n"/>
      <c r="J376" s="22" t="n"/>
      <c r="K376" s="22" t="n"/>
      <c r="L376" s="22" t="n"/>
      <c r="M376" s="22" t="n"/>
      <c r="N376" s="22" t="n"/>
      <c r="O376" s="23">
        <f>IF(COUNT(H376:N376)=0,"",MAX(H376:N376))</f>
        <v/>
      </c>
      <c r="P376" s="24">
        <f>IF(O376="","",INDEX($H$3:$N$3,MATCH(O376,H376:N376,0)))</f>
        <v/>
      </c>
      <c r="Q376" s="23">
        <f>IF(Refino!$L$27="","",G376*Refino!$L$27*(1-RetCraft))</f>
        <v/>
      </c>
      <c r="R376" s="25">
        <f>IF(Artefatos!$L$32="","",Artefatos!$L$32*(1+TaxaCompra))</f>
        <v/>
      </c>
      <c r="S376">
        <f>IF(Artefatos!$M$32="","",Artefatos!$M$32)</f>
        <v/>
      </c>
      <c r="T376" s="25">
        <f>G376*Refino!$D$27+Artefatos!$F$32</f>
        <v/>
      </c>
      <c r="U376" s="25">
        <f>T376*0.1125*FeeCraft/100</f>
        <v/>
      </c>
      <c r="V376" s="23">
        <f>IF(OR(Q376="",R376=""),"",Q376+R376+U376)</f>
        <v/>
      </c>
      <c r="W376" s="23">
        <f>IF(O376="","",O376*(1-TaxaVenda))</f>
        <v/>
      </c>
      <c r="X376" s="26">
        <f>IF(OR(V376="",W376=""),"",W376-V376)</f>
        <v/>
      </c>
      <c r="Y376" s="27">
        <f>IF(X376="","",X376/V376)</f>
        <v/>
      </c>
    </row>
    <row r="377">
      <c r="A377" t="inlineStr">
        <is>
          <t>Demônio (Demon)|Botas|T8.3</t>
        </is>
      </c>
      <c r="B377" t="inlineStr">
        <is>
          <t>Demônio (Demon)</t>
        </is>
      </c>
      <c r="C377" t="inlineStr">
        <is>
          <t>Botas</t>
        </is>
      </c>
      <c r="D377" t="inlineStr">
        <is>
          <t>T8.3</t>
        </is>
      </c>
      <c r="E377" t="n">
        <v>8</v>
      </c>
      <c r="F377" t="n">
        <v>3</v>
      </c>
      <c r="G377" t="n">
        <v>8</v>
      </c>
      <c r="H377" s="22" t="n"/>
      <c r="I377" s="22" t="n"/>
      <c r="J377" s="22" t="n"/>
      <c r="K377" s="22" t="n"/>
      <c r="L377" s="22" t="n"/>
      <c r="M377" s="22" t="n"/>
      <c r="N377" s="22" t="n"/>
      <c r="O377" s="23">
        <f>IF(COUNT(H377:N377)=0,"",MAX(H377:N377))</f>
        <v/>
      </c>
      <c r="P377" s="24">
        <f>IF(O377="","",INDEX($H$3:$N$3,MATCH(O377,H377:N377,0)))</f>
        <v/>
      </c>
      <c r="Q377" s="23">
        <f>IF(Refino!$L$28="","",G377*Refino!$L$28*(1-RetCraft))</f>
        <v/>
      </c>
      <c r="R377" s="25">
        <f>IF(Artefatos!$L$32="","",Artefatos!$L$32*(1+TaxaCompra))</f>
        <v/>
      </c>
      <c r="S377">
        <f>IF(Artefatos!$M$32="","",Artefatos!$M$32)</f>
        <v/>
      </c>
      <c r="T377" s="25">
        <f>G377*Refino!$D$28+Artefatos!$F$32</f>
        <v/>
      </c>
      <c r="U377" s="25">
        <f>T377*0.1125*FeeCraft/100</f>
        <v/>
      </c>
      <c r="V377" s="23">
        <f>IF(OR(Q377="",R377=""),"",Q377+R377+U377)</f>
        <v/>
      </c>
      <c r="W377" s="23">
        <f>IF(O377="","",O377*(1-TaxaVenda))</f>
        <v/>
      </c>
      <c r="X377" s="26">
        <f>IF(OR(V377="",W377=""),"",W377-V377)</f>
        <v/>
      </c>
      <c r="Y377" s="27">
        <f>IF(X377="","",X377/V377)</f>
        <v/>
      </c>
    </row>
    <row r="378">
      <c r="A378" t="inlineStr">
        <is>
          <t>Demônio (Demon)|Botas|T8.4</t>
        </is>
      </c>
      <c r="B378" t="inlineStr">
        <is>
          <t>Demônio (Demon)</t>
        </is>
      </c>
      <c r="C378" t="inlineStr">
        <is>
          <t>Botas</t>
        </is>
      </c>
      <c r="D378" t="inlineStr">
        <is>
          <t>T8.4</t>
        </is>
      </c>
      <c r="E378" t="n">
        <v>8</v>
      </c>
      <c r="F378" t="n">
        <v>4</v>
      </c>
      <c r="G378" t="n">
        <v>8</v>
      </c>
      <c r="H378" s="22" t="n"/>
      <c r="I378" s="22" t="n"/>
      <c r="J378" s="22" t="n"/>
      <c r="K378" s="22" t="n"/>
      <c r="L378" s="22" t="n"/>
      <c r="M378" s="22" t="n"/>
      <c r="N378" s="22" t="n"/>
      <c r="O378" s="23">
        <f>IF(COUNT(H378:N378)=0,"",MAX(H378:N378))</f>
        <v/>
      </c>
      <c r="P378" s="24">
        <f>IF(O378="","",INDEX($H$3:$N$3,MATCH(O378,H378:N378,0)))</f>
        <v/>
      </c>
      <c r="Q378" s="23">
        <f>IF(Refino!$L$29="","",G378*Refino!$L$29*(1-RetCraft))</f>
        <v/>
      </c>
      <c r="R378" s="25">
        <f>IF(Artefatos!$L$32="","",Artefatos!$L$32*(1+TaxaCompra))</f>
        <v/>
      </c>
      <c r="S378">
        <f>IF(Artefatos!$M$32="","",Artefatos!$M$32)</f>
        <v/>
      </c>
      <c r="T378" s="25">
        <f>G378*Refino!$D$29+Artefatos!$F$32</f>
        <v/>
      </c>
      <c r="U378" s="25">
        <f>T378*0.1125*FeeCraft/100</f>
        <v/>
      </c>
      <c r="V378" s="23">
        <f>IF(OR(Q378="",R378=""),"",Q378+R378+U378)</f>
        <v/>
      </c>
      <c r="W378" s="23">
        <f>IF(O378="","",O378*(1-TaxaVenda))</f>
        <v/>
      </c>
      <c r="X378" s="26">
        <f>IF(OR(V378="",W378=""),"",W378-V378)</f>
        <v/>
      </c>
      <c r="Y378" s="27">
        <f>IF(X378="","",X378/V378)</f>
        <v/>
      </c>
    </row>
    <row r="379">
      <c r="A379" t="inlineStr">
        <is>
          <t>Juiz (Judicator)|Armadura|T4.0</t>
        </is>
      </c>
      <c r="B379" t="inlineStr">
        <is>
          <t>Juiz (Judicator)</t>
        </is>
      </c>
      <c r="C379" t="inlineStr">
        <is>
          <t>Armadura</t>
        </is>
      </c>
      <c r="D379" t="inlineStr">
        <is>
          <t>T4.0</t>
        </is>
      </c>
      <c r="E379" t="n">
        <v>4</v>
      </c>
      <c r="F379" t="n">
        <v>0</v>
      </c>
      <c r="G379" t="n">
        <v>16</v>
      </c>
      <c r="H379" s="22" t="n"/>
      <c r="I379" s="22" t="n"/>
      <c r="J379" s="22" t="n"/>
      <c r="K379" s="22" t="n"/>
      <c r="L379" s="22" t="n"/>
      <c r="M379" s="22" t="n"/>
      <c r="N379" s="22" t="n"/>
      <c r="O379" s="23">
        <f>IF(COUNT(H379:N379)=0,"",MAX(H379:N379))</f>
        <v/>
      </c>
      <c r="P379" s="24">
        <f>IF(O379="","",INDEX($H$3:$N$3,MATCH(O379,H379:N379,0)))</f>
        <v/>
      </c>
      <c r="Q379" s="23">
        <f>IF(Refino!$L$5="","",G379*Refino!$L$5*(1-RetCraft))</f>
        <v/>
      </c>
      <c r="R379" s="25">
        <f>IF(Artefatos!$L$33="","",Artefatos!$L$33*(1+TaxaCompra))</f>
        <v/>
      </c>
      <c r="S379">
        <f>IF(Artefatos!$M$33="","",Artefatos!$M$33)</f>
        <v/>
      </c>
      <c r="T379" s="25">
        <f>G379*Refino!$D$5+Artefatos!$F$33</f>
        <v/>
      </c>
      <c r="U379" s="25">
        <f>T379*0.1125*FeeCraft/100</f>
        <v/>
      </c>
      <c r="V379" s="23">
        <f>IF(OR(Q379="",R379=""),"",Q379+R379+U379)</f>
        <v/>
      </c>
      <c r="W379" s="23">
        <f>IF(O379="","",O379*(1-TaxaVenda))</f>
        <v/>
      </c>
      <c r="X379" s="26">
        <f>IF(OR(V379="",W379=""),"",W379-V379)</f>
        <v/>
      </c>
      <c r="Y379" s="27">
        <f>IF(X379="","",X379/V379)</f>
        <v/>
      </c>
    </row>
    <row r="380">
      <c r="A380" t="inlineStr">
        <is>
          <t>Juiz (Judicator)|Armadura|T4.1</t>
        </is>
      </c>
      <c r="B380" t="inlineStr">
        <is>
          <t>Juiz (Judicator)</t>
        </is>
      </c>
      <c r="C380" t="inlineStr">
        <is>
          <t>Armadura</t>
        </is>
      </c>
      <c r="D380" t="inlineStr">
        <is>
          <t>T4.1</t>
        </is>
      </c>
      <c r="E380" t="n">
        <v>4</v>
      </c>
      <c r="F380" t="n">
        <v>1</v>
      </c>
      <c r="G380" t="n">
        <v>16</v>
      </c>
      <c r="H380" s="22" t="n"/>
      <c r="I380" s="22" t="n"/>
      <c r="J380" s="22" t="n"/>
      <c r="K380" s="22" t="n"/>
      <c r="L380" s="22" t="n"/>
      <c r="M380" s="22" t="n"/>
      <c r="N380" s="22" t="n"/>
      <c r="O380" s="23">
        <f>IF(COUNT(H380:N380)=0,"",MAX(H380:N380))</f>
        <v/>
      </c>
      <c r="P380" s="24">
        <f>IF(O380="","",INDEX($H$3:$N$3,MATCH(O380,H380:N380,0)))</f>
        <v/>
      </c>
      <c r="Q380" s="23">
        <f>IF(Refino!$L$6="","",G380*Refino!$L$6*(1-RetCraft))</f>
        <v/>
      </c>
      <c r="R380" s="25">
        <f>IF(Artefatos!$L$33="","",Artefatos!$L$33*(1+TaxaCompra))</f>
        <v/>
      </c>
      <c r="S380">
        <f>IF(Artefatos!$M$33="","",Artefatos!$M$33)</f>
        <v/>
      </c>
      <c r="T380" s="25">
        <f>G380*Refino!$D$6+Artefatos!$F$33</f>
        <v/>
      </c>
      <c r="U380" s="25">
        <f>T380*0.1125*FeeCraft/100</f>
        <v/>
      </c>
      <c r="V380" s="23">
        <f>IF(OR(Q380="",R380=""),"",Q380+R380+U380)</f>
        <v/>
      </c>
      <c r="W380" s="23">
        <f>IF(O380="","",O380*(1-TaxaVenda))</f>
        <v/>
      </c>
      <c r="X380" s="26">
        <f>IF(OR(V380="",W380=""),"",W380-V380)</f>
        <v/>
      </c>
      <c r="Y380" s="27">
        <f>IF(X380="","",X380/V380)</f>
        <v/>
      </c>
    </row>
    <row r="381">
      <c r="A381" t="inlineStr">
        <is>
          <t>Juiz (Judicator)|Armadura|T4.2</t>
        </is>
      </c>
      <c r="B381" t="inlineStr">
        <is>
          <t>Juiz (Judicator)</t>
        </is>
      </c>
      <c r="C381" t="inlineStr">
        <is>
          <t>Armadura</t>
        </is>
      </c>
      <c r="D381" t="inlineStr">
        <is>
          <t>T4.2</t>
        </is>
      </c>
      <c r="E381" t="n">
        <v>4</v>
      </c>
      <c r="F381" t="n">
        <v>2</v>
      </c>
      <c r="G381" t="n">
        <v>16</v>
      </c>
      <c r="H381" s="22" t="n"/>
      <c r="I381" s="22" t="n"/>
      <c r="J381" s="22" t="n"/>
      <c r="K381" s="22" t="n"/>
      <c r="L381" s="22" t="n"/>
      <c r="M381" s="22" t="n"/>
      <c r="N381" s="22" t="n"/>
      <c r="O381" s="23">
        <f>IF(COUNT(H381:N381)=0,"",MAX(H381:N381))</f>
        <v/>
      </c>
      <c r="P381" s="24">
        <f>IF(O381="","",INDEX($H$3:$N$3,MATCH(O381,H381:N381,0)))</f>
        <v/>
      </c>
      <c r="Q381" s="23">
        <f>IF(Refino!$L$7="","",G381*Refino!$L$7*(1-RetCraft))</f>
        <v/>
      </c>
      <c r="R381" s="25">
        <f>IF(Artefatos!$L$33="","",Artefatos!$L$33*(1+TaxaCompra))</f>
        <v/>
      </c>
      <c r="S381">
        <f>IF(Artefatos!$M$33="","",Artefatos!$M$33)</f>
        <v/>
      </c>
      <c r="T381" s="25">
        <f>G381*Refino!$D$7+Artefatos!$F$33</f>
        <v/>
      </c>
      <c r="U381" s="25">
        <f>T381*0.1125*FeeCraft/100</f>
        <v/>
      </c>
      <c r="V381" s="23">
        <f>IF(OR(Q381="",R381=""),"",Q381+R381+U381)</f>
        <v/>
      </c>
      <c r="W381" s="23">
        <f>IF(O381="","",O381*(1-TaxaVenda))</f>
        <v/>
      </c>
      <c r="X381" s="26">
        <f>IF(OR(V381="",W381=""),"",W381-V381)</f>
        <v/>
      </c>
      <c r="Y381" s="27">
        <f>IF(X381="","",X381/V381)</f>
        <v/>
      </c>
    </row>
    <row r="382">
      <c r="A382" t="inlineStr">
        <is>
          <t>Juiz (Judicator)|Armadura|T4.3</t>
        </is>
      </c>
      <c r="B382" t="inlineStr">
        <is>
          <t>Juiz (Judicator)</t>
        </is>
      </c>
      <c r="C382" t="inlineStr">
        <is>
          <t>Armadura</t>
        </is>
      </c>
      <c r="D382" t="inlineStr">
        <is>
          <t>T4.3</t>
        </is>
      </c>
      <c r="E382" t="n">
        <v>4</v>
      </c>
      <c r="F382" t="n">
        <v>3</v>
      </c>
      <c r="G382" t="n">
        <v>16</v>
      </c>
      <c r="H382" s="22" t="n"/>
      <c r="I382" s="22" t="n"/>
      <c r="J382" s="22" t="n"/>
      <c r="K382" s="22" t="n"/>
      <c r="L382" s="22" t="n"/>
      <c r="M382" s="22" t="n"/>
      <c r="N382" s="22" t="n"/>
      <c r="O382" s="23">
        <f>IF(COUNT(H382:N382)=0,"",MAX(H382:N382))</f>
        <v/>
      </c>
      <c r="P382" s="24">
        <f>IF(O382="","",INDEX($H$3:$N$3,MATCH(O382,H382:N382,0)))</f>
        <v/>
      </c>
      <c r="Q382" s="23">
        <f>IF(Refino!$L$8="","",G382*Refino!$L$8*(1-RetCraft))</f>
        <v/>
      </c>
      <c r="R382" s="25">
        <f>IF(Artefatos!$L$33="","",Artefatos!$L$33*(1+TaxaCompra))</f>
        <v/>
      </c>
      <c r="S382">
        <f>IF(Artefatos!$M$33="","",Artefatos!$M$33)</f>
        <v/>
      </c>
      <c r="T382" s="25">
        <f>G382*Refino!$D$8+Artefatos!$F$33</f>
        <v/>
      </c>
      <c r="U382" s="25">
        <f>T382*0.1125*FeeCraft/100</f>
        <v/>
      </c>
      <c r="V382" s="23">
        <f>IF(OR(Q382="",R382=""),"",Q382+R382+U382)</f>
        <v/>
      </c>
      <c r="W382" s="23">
        <f>IF(O382="","",O382*(1-TaxaVenda))</f>
        <v/>
      </c>
      <c r="X382" s="26">
        <f>IF(OR(V382="",W382=""),"",W382-V382)</f>
        <v/>
      </c>
      <c r="Y382" s="27">
        <f>IF(X382="","",X382/V382)</f>
        <v/>
      </c>
    </row>
    <row r="383">
      <c r="A383" t="inlineStr">
        <is>
          <t>Juiz (Judicator)|Armadura|T4.4</t>
        </is>
      </c>
      <c r="B383" t="inlineStr">
        <is>
          <t>Juiz (Judicator)</t>
        </is>
      </c>
      <c r="C383" t="inlineStr">
        <is>
          <t>Armadura</t>
        </is>
      </c>
      <c r="D383" t="inlineStr">
        <is>
          <t>T4.4</t>
        </is>
      </c>
      <c r="E383" t="n">
        <v>4</v>
      </c>
      <c r="F383" t="n">
        <v>4</v>
      </c>
      <c r="G383" t="n">
        <v>16</v>
      </c>
      <c r="H383" s="22" t="n"/>
      <c r="I383" s="22" t="n"/>
      <c r="J383" s="22" t="n"/>
      <c r="K383" s="22" t="n"/>
      <c r="L383" s="22" t="n"/>
      <c r="M383" s="22" t="n"/>
      <c r="N383" s="22" t="n"/>
      <c r="O383" s="23">
        <f>IF(COUNT(H383:N383)=0,"",MAX(H383:N383))</f>
        <v/>
      </c>
      <c r="P383" s="24">
        <f>IF(O383="","",INDEX($H$3:$N$3,MATCH(O383,H383:N383,0)))</f>
        <v/>
      </c>
      <c r="Q383" s="23">
        <f>IF(Refino!$L$9="","",G383*Refino!$L$9*(1-RetCraft))</f>
        <v/>
      </c>
      <c r="R383" s="25">
        <f>IF(Artefatos!$L$33="","",Artefatos!$L$33*(1+TaxaCompra))</f>
        <v/>
      </c>
      <c r="S383">
        <f>IF(Artefatos!$M$33="","",Artefatos!$M$33)</f>
        <v/>
      </c>
      <c r="T383" s="25">
        <f>G383*Refino!$D$9+Artefatos!$F$33</f>
        <v/>
      </c>
      <c r="U383" s="25">
        <f>T383*0.1125*FeeCraft/100</f>
        <v/>
      </c>
      <c r="V383" s="23">
        <f>IF(OR(Q383="",R383=""),"",Q383+R383+U383)</f>
        <v/>
      </c>
      <c r="W383" s="23">
        <f>IF(O383="","",O383*(1-TaxaVenda))</f>
        <v/>
      </c>
      <c r="X383" s="26">
        <f>IF(OR(V383="",W383=""),"",W383-V383)</f>
        <v/>
      </c>
      <c r="Y383" s="27">
        <f>IF(X383="","",X383/V383)</f>
        <v/>
      </c>
    </row>
    <row r="384">
      <c r="A384" t="inlineStr">
        <is>
          <t>Juiz (Judicator)|Armadura|T5.0</t>
        </is>
      </c>
      <c r="B384" t="inlineStr">
        <is>
          <t>Juiz (Judicator)</t>
        </is>
      </c>
      <c r="C384" t="inlineStr">
        <is>
          <t>Armadura</t>
        </is>
      </c>
      <c r="D384" t="inlineStr">
        <is>
          <t>T5.0</t>
        </is>
      </c>
      <c r="E384" t="n">
        <v>5</v>
      </c>
      <c r="F384" t="n">
        <v>0</v>
      </c>
      <c r="G384" t="n">
        <v>16</v>
      </c>
      <c r="H384" s="22" t="n"/>
      <c r="I384" s="22" t="n"/>
      <c r="J384" s="22" t="n"/>
      <c r="K384" s="22" t="n"/>
      <c r="L384" s="22" t="n"/>
      <c r="M384" s="22" t="n"/>
      <c r="N384" s="22" t="n"/>
      <c r="O384" s="23">
        <f>IF(COUNT(H384:N384)=0,"",MAX(H384:N384))</f>
        <v/>
      </c>
      <c r="P384" s="24">
        <f>IF(O384="","",INDEX($H$3:$N$3,MATCH(O384,H384:N384,0)))</f>
        <v/>
      </c>
      <c r="Q384" s="23">
        <f>IF(Refino!$L$10="","",G384*Refino!$L$10*(1-RetCraft))</f>
        <v/>
      </c>
      <c r="R384" s="25">
        <f>IF(Artefatos!$L$34="","",Artefatos!$L$34*(1+TaxaCompra))</f>
        <v/>
      </c>
      <c r="S384">
        <f>IF(Artefatos!$M$34="","",Artefatos!$M$34)</f>
        <v/>
      </c>
      <c r="T384" s="25">
        <f>G384*Refino!$D$10+Artefatos!$F$34</f>
        <v/>
      </c>
      <c r="U384" s="25">
        <f>T384*0.1125*FeeCraft/100</f>
        <v/>
      </c>
      <c r="V384" s="23">
        <f>IF(OR(Q384="",R384=""),"",Q384+R384+U384)</f>
        <v/>
      </c>
      <c r="W384" s="23">
        <f>IF(O384="","",O384*(1-TaxaVenda))</f>
        <v/>
      </c>
      <c r="X384" s="26">
        <f>IF(OR(V384="",W384=""),"",W384-V384)</f>
        <v/>
      </c>
      <c r="Y384" s="27">
        <f>IF(X384="","",X384/V384)</f>
        <v/>
      </c>
    </row>
    <row r="385">
      <c r="A385" t="inlineStr">
        <is>
          <t>Juiz (Judicator)|Armadura|T5.1</t>
        </is>
      </c>
      <c r="B385" t="inlineStr">
        <is>
          <t>Juiz (Judicator)</t>
        </is>
      </c>
      <c r="C385" t="inlineStr">
        <is>
          <t>Armadura</t>
        </is>
      </c>
      <c r="D385" t="inlineStr">
        <is>
          <t>T5.1</t>
        </is>
      </c>
      <c r="E385" t="n">
        <v>5</v>
      </c>
      <c r="F385" t="n">
        <v>1</v>
      </c>
      <c r="G385" t="n">
        <v>16</v>
      </c>
      <c r="H385" s="22" t="n"/>
      <c r="I385" s="22" t="n"/>
      <c r="J385" s="22" t="n"/>
      <c r="K385" s="22" t="n"/>
      <c r="L385" s="22" t="n"/>
      <c r="M385" s="22" t="n"/>
      <c r="N385" s="22" t="n"/>
      <c r="O385" s="23">
        <f>IF(COUNT(H385:N385)=0,"",MAX(H385:N385))</f>
        <v/>
      </c>
      <c r="P385" s="24">
        <f>IF(O385="","",INDEX($H$3:$N$3,MATCH(O385,H385:N385,0)))</f>
        <v/>
      </c>
      <c r="Q385" s="23">
        <f>IF(Refino!$L$11="","",G385*Refino!$L$11*(1-RetCraft))</f>
        <v/>
      </c>
      <c r="R385" s="25">
        <f>IF(Artefatos!$L$34="","",Artefatos!$L$34*(1+TaxaCompra))</f>
        <v/>
      </c>
      <c r="S385">
        <f>IF(Artefatos!$M$34="","",Artefatos!$M$34)</f>
        <v/>
      </c>
      <c r="T385" s="25">
        <f>G385*Refino!$D$11+Artefatos!$F$34</f>
        <v/>
      </c>
      <c r="U385" s="25">
        <f>T385*0.1125*FeeCraft/100</f>
        <v/>
      </c>
      <c r="V385" s="23">
        <f>IF(OR(Q385="",R385=""),"",Q385+R385+U385)</f>
        <v/>
      </c>
      <c r="W385" s="23">
        <f>IF(O385="","",O385*(1-TaxaVenda))</f>
        <v/>
      </c>
      <c r="X385" s="26">
        <f>IF(OR(V385="",W385=""),"",W385-V385)</f>
        <v/>
      </c>
      <c r="Y385" s="27">
        <f>IF(X385="","",X385/V385)</f>
        <v/>
      </c>
    </row>
    <row r="386">
      <c r="A386" t="inlineStr">
        <is>
          <t>Juiz (Judicator)|Armadura|T5.2</t>
        </is>
      </c>
      <c r="B386" t="inlineStr">
        <is>
          <t>Juiz (Judicator)</t>
        </is>
      </c>
      <c r="C386" t="inlineStr">
        <is>
          <t>Armadura</t>
        </is>
      </c>
      <c r="D386" t="inlineStr">
        <is>
          <t>T5.2</t>
        </is>
      </c>
      <c r="E386" t="n">
        <v>5</v>
      </c>
      <c r="F386" t="n">
        <v>2</v>
      </c>
      <c r="G386" t="n">
        <v>16</v>
      </c>
      <c r="H386" s="22" t="n"/>
      <c r="I386" s="22" t="n"/>
      <c r="J386" s="22" t="n"/>
      <c r="K386" s="22" t="n"/>
      <c r="L386" s="22" t="n"/>
      <c r="M386" s="22" t="n"/>
      <c r="N386" s="22" t="n"/>
      <c r="O386" s="23">
        <f>IF(COUNT(H386:N386)=0,"",MAX(H386:N386))</f>
        <v/>
      </c>
      <c r="P386" s="24">
        <f>IF(O386="","",INDEX($H$3:$N$3,MATCH(O386,H386:N386,0)))</f>
        <v/>
      </c>
      <c r="Q386" s="23">
        <f>IF(Refino!$L$12="","",G386*Refino!$L$12*(1-RetCraft))</f>
        <v/>
      </c>
      <c r="R386" s="25">
        <f>IF(Artefatos!$L$34="","",Artefatos!$L$34*(1+TaxaCompra))</f>
        <v/>
      </c>
      <c r="S386">
        <f>IF(Artefatos!$M$34="","",Artefatos!$M$34)</f>
        <v/>
      </c>
      <c r="T386" s="25">
        <f>G386*Refino!$D$12+Artefatos!$F$34</f>
        <v/>
      </c>
      <c r="U386" s="25">
        <f>T386*0.1125*FeeCraft/100</f>
        <v/>
      </c>
      <c r="V386" s="23">
        <f>IF(OR(Q386="",R386=""),"",Q386+R386+U386)</f>
        <v/>
      </c>
      <c r="W386" s="23">
        <f>IF(O386="","",O386*(1-TaxaVenda))</f>
        <v/>
      </c>
      <c r="X386" s="26">
        <f>IF(OR(V386="",W386=""),"",W386-V386)</f>
        <v/>
      </c>
      <c r="Y386" s="27">
        <f>IF(X386="","",X386/V386)</f>
        <v/>
      </c>
    </row>
    <row r="387">
      <c r="A387" t="inlineStr">
        <is>
          <t>Juiz (Judicator)|Armadura|T5.3</t>
        </is>
      </c>
      <c r="B387" t="inlineStr">
        <is>
          <t>Juiz (Judicator)</t>
        </is>
      </c>
      <c r="C387" t="inlineStr">
        <is>
          <t>Armadura</t>
        </is>
      </c>
      <c r="D387" t="inlineStr">
        <is>
          <t>T5.3</t>
        </is>
      </c>
      <c r="E387" t="n">
        <v>5</v>
      </c>
      <c r="F387" t="n">
        <v>3</v>
      </c>
      <c r="G387" t="n">
        <v>16</v>
      </c>
      <c r="H387" s="22" t="n"/>
      <c r="I387" s="22" t="n"/>
      <c r="J387" s="22" t="n"/>
      <c r="K387" s="22" t="n"/>
      <c r="L387" s="22" t="n"/>
      <c r="M387" s="22" t="n"/>
      <c r="N387" s="22" t="n"/>
      <c r="O387" s="23">
        <f>IF(COUNT(H387:N387)=0,"",MAX(H387:N387))</f>
        <v/>
      </c>
      <c r="P387" s="24">
        <f>IF(O387="","",INDEX($H$3:$N$3,MATCH(O387,H387:N387,0)))</f>
        <v/>
      </c>
      <c r="Q387" s="23">
        <f>IF(Refino!$L$13="","",G387*Refino!$L$13*(1-RetCraft))</f>
        <v/>
      </c>
      <c r="R387" s="25">
        <f>IF(Artefatos!$L$34="","",Artefatos!$L$34*(1+TaxaCompra))</f>
        <v/>
      </c>
      <c r="S387">
        <f>IF(Artefatos!$M$34="","",Artefatos!$M$34)</f>
        <v/>
      </c>
      <c r="T387" s="25">
        <f>G387*Refino!$D$13+Artefatos!$F$34</f>
        <v/>
      </c>
      <c r="U387" s="25">
        <f>T387*0.1125*FeeCraft/100</f>
        <v/>
      </c>
      <c r="V387" s="23">
        <f>IF(OR(Q387="",R387=""),"",Q387+R387+U387)</f>
        <v/>
      </c>
      <c r="W387" s="23">
        <f>IF(O387="","",O387*(1-TaxaVenda))</f>
        <v/>
      </c>
      <c r="X387" s="26">
        <f>IF(OR(V387="",W387=""),"",W387-V387)</f>
        <v/>
      </c>
      <c r="Y387" s="27">
        <f>IF(X387="","",X387/V387)</f>
        <v/>
      </c>
    </row>
    <row r="388">
      <c r="A388" t="inlineStr">
        <is>
          <t>Juiz (Judicator)|Armadura|T5.4</t>
        </is>
      </c>
      <c r="B388" t="inlineStr">
        <is>
          <t>Juiz (Judicator)</t>
        </is>
      </c>
      <c r="C388" t="inlineStr">
        <is>
          <t>Armadura</t>
        </is>
      </c>
      <c r="D388" t="inlineStr">
        <is>
          <t>T5.4</t>
        </is>
      </c>
      <c r="E388" t="n">
        <v>5</v>
      </c>
      <c r="F388" t="n">
        <v>4</v>
      </c>
      <c r="G388" t="n">
        <v>16</v>
      </c>
      <c r="H388" s="22" t="n"/>
      <c r="I388" s="22" t="n"/>
      <c r="J388" s="22" t="n"/>
      <c r="K388" s="22" t="n"/>
      <c r="L388" s="22" t="n"/>
      <c r="M388" s="22" t="n"/>
      <c r="N388" s="22" t="n"/>
      <c r="O388" s="23">
        <f>IF(COUNT(H388:N388)=0,"",MAX(H388:N388))</f>
        <v/>
      </c>
      <c r="P388" s="24">
        <f>IF(O388="","",INDEX($H$3:$N$3,MATCH(O388,H388:N388,0)))</f>
        <v/>
      </c>
      <c r="Q388" s="23">
        <f>IF(Refino!$L$14="","",G388*Refino!$L$14*(1-RetCraft))</f>
        <v/>
      </c>
      <c r="R388" s="25">
        <f>IF(Artefatos!$L$34="","",Artefatos!$L$34*(1+TaxaCompra))</f>
        <v/>
      </c>
      <c r="S388">
        <f>IF(Artefatos!$M$34="","",Artefatos!$M$34)</f>
        <v/>
      </c>
      <c r="T388" s="25">
        <f>G388*Refino!$D$14+Artefatos!$F$34</f>
        <v/>
      </c>
      <c r="U388" s="25">
        <f>T388*0.1125*FeeCraft/100</f>
        <v/>
      </c>
      <c r="V388" s="23">
        <f>IF(OR(Q388="",R388=""),"",Q388+R388+U388)</f>
        <v/>
      </c>
      <c r="W388" s="23">
        <f>IF(O388="","",O388*(1-TaxaVenda))</f>
        <v/>
      </c>
      <c r="X388" s="26">
        <f>IF(OR(V388="",W388=""),"",W388-V388)</f>
        <v/>
      </c>
      <c r="Y388" s="27">
        <f>IF(X388="","",X388/V388)</f>
        <v/>
      </c>
    </row>
    <row r="389">
      <c r="A389" t="inlineStr">
        <is>
          <t>Juiz (Judicator)|Armadura|T6.0</t>
        </is>
      </c>
      <c r="B389" t="inlineStr">
        <is>
          <t>Juiz (Judicator)</t>
        </is>
      </c>
      <c r="C389" t="inlineStr">
        <is>
          <t>Armadura</t>
        </is>
      </c>
      <c r="D389" t="inlineStr">
        <is>
          <t>T6.0</t>
        </is>
      </c>
      <c r="E389" t="n">
        <v>6</v>
      </c>
      <c r="F389" t="n">
        <v>0</v>
      </c>
      <c r="G389" t="n">
        <v>16</v>
      </c>
      <c r="H389" s="22" t="n"/>
      <c r="I389" s="22" t="n"/>
      <c r="J389" s="22" t="n"/>
      <c r="K389" s="22" t="n"/>
      <c r="L389" s="22" t="n"/>
      <c r="M389" s="22" t="n"/>
      <c r="N389" s="22" t="n"/>
      <c r="O389" s="23">
        <f>IF(COUNT(H389:N389)=0,"",MAX(H389:N389))</f>
        <v/>
      </c>
      <c r="P389" s="24">
        <f>IF(O389="","",INDEX($H$3:$N$3,MATCH(O389,H389:N389,0)))</f>
        <v/>
      </c>
      <c r="Q389" s="23">
        <f>IF(Refino!$L$15="","",G389*Refino!$L$15*(1-RetCraft))</f>
        <v/>
      </c>
      <c r="R389" s="25">
        <f>IF(Artefatos!$L$35="","",Artefatos!$L$35*(1+TaxaCompra))</f>
        <v/>
      </c>
      <c r="S389">
        <f>IF(Artefatos!$M$35="","",Artefatos!$M$35)</f>
        <v/>
      </c>
      <c r="T389" s="25">
        <f>G389*Refino!$D$15+Artefatos!$F$35</f>
        <v/>
      </c>
      <c r="U389" s="25">
        <f>T389*0.1125*FeeCraft/100</f>
        <v/>
      </c>
      <c r="V389" s="23">
        <f>IF(OR(Q389="",R389=""),"",Q389+R389+U389)</f>
        <v/>
      </c>
      <c r="W389" s="23">
        <f>IF(O389="","",O389*(1-TaxaVenda))</f>
        <v/>
      </c>
      <c r="X389" s="26">
        <f>IF(OR(V389="",W389=""),"",W389-V389)</f>
        <v/>
      </c>
      <c r="Y389" s="27">
        <f>IF(X389="","",X389/V389)</f>
        <v/>
      </c>
    </row>
    <row r="390">
      <c r="A390" t="inlineStr">
        <is>
          <t>Juiz (Judicator)|Armadura|T6.1</t>
        </is>
      </c>
      <c r="B390" t="inlineStr">
        <is>
          <t>Juiz (Judicator)</t>
        </is>
      </c>
      <c r="C390" t="inlineStr">
        <is>
          <t>Armadura</t>
        </is>
      </c>
      <c r="D390" t="inlineStr">
        <is>
          <t>T6.1</t>
        </is>
      </c>
      <c r="E390" t="n">
        <v>6</v>
      </c>
      <c r="F390" t="n">
        <v>1</v>
      </c>
      <c r="G390" t="n">
        <v>16</v>
      </c>
      <c r="H390" s="22" t="n"/>
      <c r="I390" s="22" t="n"/>
      <c r="J390" s="22" t="n"/>
      <c r="K390" s="22" t="n"/>
      <c r="L390" s="22" t="n"/>
      <c r="M390" s="22" t="n"/>
      <c r="N390" s="22" t="n"/>
      <c r="O390" s="23">
        <f>IF(COUNT(H390:N390)=0,"",MAX(H390:N390))</f>
        <v/>
      </c>
      <c r="P390" s="24">
        <f>IF(O390="","",INDEX($H$3:$N$3,MATCH(O390,H390:N390,0)))</f>
        <v/>
      </c>
      <c r="Q390" s="23">
        <f>IF(Refino!$L$16="","",G390*Refino!$L$16*(1-RetCraft))</f>
        <v/>
      </c>
      <c r="R390" s="25">
        <f>IF(Artefatos!$L$35="","",Artefatos!$L$35*(1+TaxaCompra))</f>
        <v/>
      </c>
      <c r="S390">
        <f>IF(Artefatos!$M$35="","",Artefatos!$M$35)</f>
        <v/>
      </c>
      <c r="T390" s="25">
        <f>G390*Refino!$D$16+Artefatos!$F$35</f>
        <v/>
      </c>
      <c r="U390" s="25">
        <f>T390*0.1125*FeeCraft/100</f>
        <v/>
      </c>
      <c r="V390" s="23">
        <f>IF(OR(Q390="",R390=""),"",Q390+R390+U390)</f>
        <v/>
      </c>
      <c r="W390" s="23">
        <f>IF(O390="","",O390*(1-TaxaVenda))</f>
        <v/>
      </c>
      <c r="X390" s="26">
        <f>IF(OR(V390="",W390=""),"",W390-V390)</f>
        <v/>
      </c>
      <c r="Y390" s="27">
        <f>IF(X390="","",X390/V390)</f>
        <v/>
      </c>
    </row>
    <row r="391">
      <c r="A391" t="inlineStr">
        <is>
          <t>Juiz (Judicator)|Armadura|T6.2</t>
        </is>
      </c>
      <c r="B391" t="inlineStr">
        <is>
          <t>Juiz (Judicator)</t>
        </is>
      </c>
      <c r="C391" t="inlineStr">
        <is>
          <t>Armadura</t>
        </is>
      </c>
      <c r="D391" t="inlineStr">
        <is>
          <t>T6.2</t>
        </is>
      </c>
      <c r="E391" t="n">
        <v>6</v>
      </c>
      <c r="F391" t="n">
        <v>2</v>
      </c>
      <c r="G391" t="n">
        <v>16</v>
      </c>
      <c r="H391" s="22" t="n"/>
      <c r="I391" s="22" t="n"/>
      <c r="J391" s="22" t="n"/>
      <c r="K391" s="22" t="n"/>
      <c r="L391" s="22" t="n"/>
      <c r="M391" s="22" t="n"/>
      <c r="N391" s="22" t="n"/>
      <c r="O391" s="23">
        <f>IF(COUNT(H391:N391)=0,"",MAX(H391:N391))</f>
        <v/>
      </c>
      <c r="P391" s="24">
        <f>IF(O391="","",INDEX($H$3:$N$3,MATCH(O391,H391:N391,0)))</f>
        <v/>
      </c>
      <c r="Q391" s="23">
        <f>IF(Refino!$L$17="","",G391*Refino!$L$17*(1-RetCraft))</f>
        <v/>
      </c>
      <c r="R391" s="25">
        <f>IF(Artefatos!$L$35="","",Artefatos!$L$35*(1+TaxaCompra))</f>
        <v/>
      </c>
      <c r="S391">
        <f>IF(Artefatos!$M$35="","",Artefatos!$M$35)</f>
        <v/>
      </c>
      <c r="T391" s="25">
        <f>G391*Refino!$D$17+Artefatos!$F$35</f>
        <v/>
      </c>
      <c r="U391" s="25">
        <f>T391*0.1125*FeeCraft/100</f>
        <v/>
      </c>
      <c r="V391" s="23">
        <f>IF(OR(Q391="",R391=""),"",Q391+R391+U391)</f>
        <v/>
      </c>
      <c r="W391" s="23">
        <f>IF(O391="","",O391*(1-TaxaVenda))</f>
        <v/>
      </c>
      <c r="X391" s="26">
        <f>IF(OR(V391="",W391=""),"",W391-V391)</f>
        <v/>
      </c>
      <c r="Y391" s="27">
        <f>IF(X391="","",X391/V391)</f>
        <v/>
      </c>
    </row>
    <row r="392">
      <c r="A392" t="inlineStr">
        <is>
          <t>Juiz (Judicator)|Armadura|T6.3</t>
        </is>
      </c>
      <c r="B392" t="inlineStr">
        <is>
          <t>Juiz (Judicator)</t>
        </is>
      </c>
      <c r="C392" t="inlineStr">
        <is>
          <t>Armadura</t>
        </is>
      </c>
      <c r="D392" t="inlineStr">
        <is>
          <t>T6.3</t>
        </is>
      </c>
      <c r="E392" t="n">
        <v>6</v>
      </c>
      <c r="F392" t="n">
        <v>3</v>
      </c>
      <c r="G392" t="n">
        <v>16</v>
      </c>
      <c r="H392" s="22" t="n"/>
      <c r="I392" s="22" t="n"/>
      <c r="J392" s="22" t="n"/>
      <c r="K392" s="22" t="n"/>
      <c r="L392" s="22" t="n"/>
      <c r="M392" s="22" t="n"/>
      <c r="N392" s="22" t="n"/>
      <c r="O392" s="23">
        <f>IF(COUNT(H392:N392)=0,"",MAX(H392:N392))</f>
        <v/>
      </c>
      <c r="P392" s="24">
        <f>IF(O392="","",INDEX($H$3:$N$3,MATCH(O392,H392:N392,0)))</f>
        <v/>
      </c>
      <c r="Q392" s="23">
        <f>IF(Refino!$L$18="","",G392*Refino!$L$18*(1-RetCraft))</f>
        <v/>
      </c>
      <c r="R392" s="25">
        <f>IF(Artefatos!$L$35="","",Artefatos!$L$35*(1+TaxaCompra))</f>
        <v/>
      </c>
      <c r="S392">
        <f>IF(Artefatos!$M$35="","",Artefatos!$M$35)</f>
        <v/>
      </c>
      <c r="T392" s="25">
        <f>G392*Refino!$D$18+Artefatos!$F$35</f>
        <v/>
      </c>
      <c r="U392" s="25">
        <f>T392*0.1125*FeeCraft/100</f>
        <v/>
      </c>
      <c r="V392" s="23">
        <f>IF(OR(Q392="",R392=""),"",Q392+R392+U392)</f>
        <v/>
      </c>
      <c r="W392" s="23">
        <f>IF(O392="","",O392*(1-TaxaVenda))</f>
        <v/>
      </c>
      <c r="X392" s="26">
        <f>IF(OR(V392="",W392=""),"",W392-V392)</f>
        <v/>
      </c>
      <c r="Y392" s="27">
        <f>IF(X392="","",X392/V392)</f>
        <v/>
      </c>
    </row>
    <row r="393">
      <c r="A393" t="inlineStr">
        <is>
          <t>Juiz (Judicator)|Armadura|T6.4</t>
        </is>
      </c>
      <c r="B393" t="inlineStr">
        <is>
          <t>Juiz (Judicator)</t>
        </is>
      </c>
      <c r="C393" t="inlineStr">
        <is>
          <t>Armadura</t>
        </is>
      </c>
      <c r="D393" t="inlineStr">
        <is>
          <t>T6.4</t>
        </is>
      </c>
      <c r="E393" t="n">
        <v>6</v>
      </c>
      <c r="F393" t="n">
        <v>4</v>
      </c>
      <c r="G393" t="n">
        <v>16</v>
      </c>
      <c r="H393" s="22" t="n"/>
      <c r="I393" s="22" t="n"/>
      <c r="J393" s="22" t="n"/>
      <c r="K393" s="22" t="n"/>
      <c r="L393" s="22" t="n"/>
      <c r="M393" s="22" t="n"/>
      <c r="N393" s="22" t="n"/>
      <c r="O393" s="23">
        <f>IF(COUNT(H393:N393)=0,"",MAX(H393:N393))</f>
        <v/>
      </c>
      <c r="P393" s="24">
        <f>IF(O393="","",INDEX($H$3:$N$3,MATCH(O393,H393:N393,0)))</f>
        <v/>
      </c>
      <c r="Q393" s="23">
        <f>IF(Refino!$L$19="","",G393*Refino!$L$19*(1-RetCraft))</f>
        <v/>
      </c>
      <c r="R393" s="25">
        <f>IF(Artefatos!$L$35="","",Artefatos!$L$35*(1+TaxaCompra))</f>
        <v/>
      </c>
      <c r="S393">
        <f>IF(Artefatos!$M$35="","",Artefatos!$M$35)</f>
        <v/>
      </c>
      <c r="T393" s="25">
        <f>G393*Refino!$D$19+Artefatos!$F$35</f>
        <v/>
      </c>
      <c r="U393" s="25">
        <f>T393*0.1125*FeeCraft/100</f>
        <v/>
      </c>
      <c r="V393" s="23">
        <f>IF(OR(Q393="",R393=""),"",Q393+R393+U393)</f>
        <v/>
      </c>
      <c r="W393" s="23">
        <f>IF(O393="","",O393*(1-TaxaVenda))</f>
        <v/>
      </c>
      <c r="X393" s="26">
        <f>IF(OR(V393="",W393=""),"",W393-V393)</f>
        <v/>
      </c>
      <c r="Y393" s="27">
        <f>IF(X393="","",X393/V393)</f>
        <v/>
      </c>
    </row>
    <row r="394">
      <c r="A394" t="inlineStr">
        <is>
          <t>Juiz (Judicator)|Armadura|T7.0</t>
        </is>
      </c>
      <c r="B394" t="inlineStr">
        <is>
          <t>Juiz (Judicator)</t>
        </is>
      </c>
      <c r="C394" t="inlineStr">
        <is>
          <t>Armadura</t>
        </is>
      </c>
      <c r="D394" t="inlineStr">
        <is>
          <t>T7.0</t>
        </is>
      </c>
      <c r="E394" t="n">
        <v>7</v>
      </c>
      <c r="F394" t="n">
        <v>0</v>
      </c>
      <c r="G394" t="n">
        <v>16</v>
      </c>
      <c r="H394" s="22" t="n"/>
      <c r="I394" s="22" t="n"/>
      <c r="J394" s="22" t="n"/>
      <c r="K394" s="22" t="n"/>
      <c r="L394" s="22" t="n"/>
      <c r="M394" s="22" t="n"/>
      <c r="N394" s="22" t="n"/>
      <c r="O394" s="23">
        <f>IF(COUNT(H394:N394)=0,"",MAX(H394:N394))</f>
        <v/>
      </c>
      <c r="P394" s="24">
        <f>IF(O394="","",INDEX($H$3:$N$3,MATCH(O394,H394:N394,0)))</f>
        <v/>
      </c>
      <c r="Q394" s="23">
        <f>IF(Refino!$L$20="","",G394*Refino!$L$20*(1-RetCraft))</f>
        <v/>
      </c>
      <c r="R394" s="25">
        <f>IF(Artefatos!$L$36="","",Artefatos!$L$36*(1+TaxaCompra))</f>
        <v/>
      </c>
      <c r="S394">
        <f>IF(Artefatos!$M$36="","",Artefatos!$M$36)</f>
        <v/>
      </c>
      <c r="T394" s="25">
        <f>G394*Refino!$D$20+Artefatos!$F$36</f>
        <v/>
      </c>
      <c r="U394" s="25">
        <f>T394*0.1125*FeeCraft/100</f>
        <v/>
      </c>
      <c r="V394" s="23">
        <f>IF(OR(Q394="",R394=""),"",Q394+R394+U394)</f>
        <v/>
      </c>
      <c r="W394" s="23">
        <f>IF(O394="","",O394*(1-TaxaVenda))</f>
        <v/>
      </c>
      <c r="X394" s="26">
        <f>IF(OR(V394="",W394=""),"",W394-V394)</f>
        <v/>
      </c>
      <c r="Y394" s="27">
        <f>IF(X394="","",X394/V394)</f>
        <v/>
      </c>
    </row>
    <row r="395">
      <c r="A395" t="inlineStr">
        <is>
          <t>Juiz (Judicator)|Armadura|T7.1</t>
        </is>
      </c>
      <c r="B395" t="inlineStr">
        <is>
          <t>Juiz (Judicator)</t>
        </is>
      </c>
      <c r="C395" t="inlineStr">
        <is>
          <t>Armadura</t>
        </is>
      </c>
      <c r="D395" t="inlineStr">
        <is>
          <t>T7.1</t>
        </is>
      </c>
      <c r="E395" t="n">
        <v>7</v>
      </c>
      <c r="F395" t="n">
        <v>1</v>
      </c>
      <c r="G395" t="n">
        <v>16</v>
      </c>
      <c r="H395" s="22" t="n"/>
      <c r="I395" s="22" t="n"/>
      <c r="J395" s="22" t="n"/>
      <c r="K395" s="22" t="n"/>
      <c r="L395" s="22" t="n"/>
      <c r="M395" s="22" t="n"/>
      <c r="N395" s="22" t="n"/>
      <c r="O395" s="23">
        <f>IF(COUNT(H395:N395)=0,"",MAX(H395:N395))</f>
        <v/>
      </c>
      <c r="P395" s="24">
        <f>IF(O395="","",INDEX($H$3:$N$3,MATCH(O395,H395:N395,0)))</f>
        <v/>
      </c>
      <c r="Q395" s="23">
        <f>IF(Refino!$L$21="","",G395*Refino!$L$21*(1-RetCraft))</f>
        <v/>
      </c>
      <c r="R395" s="25">
        <f>IF(Artefatos!$L$36="","",Artefatos!$L$36*(1+TaxaCompra))</f>
        <v/>
      </c>
      <c r="S395">
        <f>IF(Artefatos!$M$36="","",Artefatos!$M$36)</f>
        <v/>
      </c>
      <c r="T395" s="25">
        <f>G395*Refino!$D$21+Artefatos!$F$36</f>
        <v/>
      </c>
      <c r="U395" s="25">
        <f>T395*0.1125*FeeCraft/100</f>
        <v/>
      </c>
      <c r="V395" s="23">
        <f>IF(OR(Q395="",R395=""),"",Q395+R395+U395)</f>
        <v/>
      </c>
      <c r="W395" s="23">
        <f>IF(O395="","",O395*(1-TaxaVenda))</f>
        <v/>
      </c>
      <c r="X395" s="26">
        <f>IF(OR(V395="",W395=""),"",W395-V395)</f>
        <v/>
      </c>
      <c r="Y395" s="27">
        <f>IF(X395="","",X395/V395)</f>
        <v/>
      </c>
    </row>
    <row r="396">
      <c r="A396" t="inlineStr">
        <is>
          <t>Juiz (Judicator)|Armadura|T7.2</t>
        </is>
      </c>
      <c r="B396" t="inlineStr">
        <is>
          <t>Juiz (Judicator)</t>
        </is>
      </c>
      <c r="C396" t="inlineStr">
        <is>
          <t>Armadura</t>
        </is>
      </c>
      <c r="D396" t="inlineStr">
        <is>
          <t>T7.2</t>
        </is>
      </c>
      <c r="E396" t="n">
        <v>7</v>
      </c>
      <c r="F396" t="n">
        <v>2</v>
      </c>
      <c r="G396" t="n">
        <v>16</v>
      </c>
      <c r="H396" s="22" t="n"/>
      <c r="I396" s="22" t="n"/>
      <c r="J396" s="22" t="n"/>
      <c r="K396" s="22" t="n"/>
      <c r="L396" s="22" t="n"/>
      <c r="M396" s="22" t="n"/>
      <c r="N396" s="22" t="n"/>
      <c r="O396" s="23">
        <f>IF(COUNT(H396:N396)=0,"",MAX(H396:N396))</f>
        <v/>
      </c>
      <c r="P396" s="24">
        <f>IF(O396="","",INDEX($H$3:$N$3,MATCH(O396,H396:N396,0)))</f>
        <v/>
      </c>
      <c r="Q396" s="23">
        <f>IF(Refino!$L$22="","",G396*Refino!$L$22*(1-RetCraft))</f>
        <v/>
      </c>
      <c r="R396" s="25">
        <f>IF(Artefatos!$L$36="","",Artefatos!$L$36*(1+TaxaCompra))</f>
        <v/>
      </c>
      <c r="S396">
        <f>IF(Artefatos!$M$36="","",Artefatos!$M$36)</f>
        <v/>
      </c>
      <c r="T396" s="25">
        <f>G396*Refino!$D$22+Artefatos!$F$36</f>
        <v/>
      </c>
      <c r="U396" s="25">
        <f>T396*0.1125*FeeCraft/100</f>
        <v/>
      </c>
      <c r="V396" s="23">
        <f>IF(OR(Q396="",R396=""),"",Q396+R396+U396)</f>
        <v/>
      </c>
      <c r="W396" s="23">
        <f>IF(O396="","",O396*(1-TaxaVenda))</f>
        <v/>
      </c>
      <c r="X396" s="26">
        <f>IF(OR(V396="",W396=""),"",W396-V396)</f>
        <v/>
      </c>
      <c r="Y396" s="27">
        <f>IF(X396="","",X396/V396)</f>
        <v/>
      </c>
    </row>
    <row r="397">
      <c r="A397" t="inlineStr">
        <is>
          <t>Juiz (Judicator)|Armadura|T7.3</t>
        </is>
      </c>
      <c r="B397" t="inlineStr">
        <is>
          <t>Juiz (Judicator)</t>
        </is>
      </c>
      <c r="C397" t="inlineStr">
        <is>
          <t>Armadura</t>
        </is>
      </c>
      <c r="D397" t="inlineStr">
        <is>
          <t>T7.3</t>
        </is>
      </c>
      <c r="E397" t="n">
        <v>7</v>
      </c>
      <c r="F397" t="n">
        <v>3</v>
      </c>
      <c r="G397" t="n">
        <v>16</v>
      </c>
      <c r="H397" s="22" t="n"/>
      <c r="I397" s="22" t="n"/>
      <c r="J397" s="22" t="n"/>
      <c r="K397" s="22" t="n"/>
      <c r="L397" s="22" t="n"/>
      <c r="M397" s="22" t="n"/>
      <c r="N397" s="22" t="n"/>
      <c r="O397" s="23">
        <f>IF(COUNT(H397:N397)=0,"",MAX(H397:N397))</f>
        <v/>
      </c>
      <c r="P397" s="24">
        <f>IF(O397="","",INDEX($H$3:$N$3,MATCH(O397,H397:N397,0)))</f>
        <v/>
      </c>
      <c r="Q397" s="23">
        <f>IF(Refino!$L$23="","",G397*Refino!$L$23*(1-RetCraft))</f>
        <v/>
      </c>
      <c r="R397" s="25">
        <f>IF(Artefatos!$L$36="","",Artefatos!$L$36*(1+TaxaCompra))</f>
        <v/>
      </c>
      <c r="S397">
        <f>IF(Artefatos!$M$36="","",Artefatos!$M$36)</f>
        <v/>
      </c>
      <c r="T397" s="25">
        <f>G397*Refino!$D$23+Artefatos!$F$36</f>
        <v/>
      </c>
      <c r="U397" s="25">
        <f>T397*0.1125*FeeCraft/100</f>
        <v/>
      </c>
      <c r="V397" s="23">
        <f>IF(OR(Q397="",R397=""),"",Q397+R397+U397)</f>
        <v/>
      </c>
      <c r="W397" s="23">
        <f>IF(O397="","",O397*(1-TaxaVenda))</f>
        <v/>
      </c>
      <c r="X397" s="26">
        <f>IF(OR(V397="",W397=""),"",W397-V397)</f>
        <v/>
      </c>
      <c r="Y397" s="27">
        <f>IF(X397="","",X397/V397)</f>
        <v/>
      </c>
    </row>
    <row r="398">
      <c r="A398" t="inlineStr">
        <is>
          <t>Juiz (Judicator)|Armadura|T7.4</t>
        </is>
      </c>
      <c r="B398" t="inlineStr">
        <is>
          <t>Juiz (Judicator)</t>
        </is>
      </c>
      <c r="C398" t="inlineStr">
        <is>
          <t>Armadura</t>
        </is>
      </c>
      <c r="D398" t="inlineStr">
        <is>
          <t>T7.4</t>
        </is>
      </c>
      <c r="E398" t="n">
        <v>7</v>
      </c>
      <c r="F398" t="n">
        <v>4</v>
      </c>
      <c r="G398" t="n">
        <v>16</v>
      </c>
      <c r="H398" s="22" t="n"/>
      <c r="I398" s="22" t="n"/>
      <c r="J398" s="22" t="n"/>
      <c r="K398" s="22" t="n"/>
      <c r="L398" s="22" t="n"/>
      <c r="M398" s="22" t="n"/>
      <c r="N398" s="22" t="n"/>
      <c r="O398" s="23">
        <f>IF(COUNT(H398:N398)=0,"",MAX(H398:N398))</f>
        <v/>
      </c>
      <c r="P398" s="24">
        <f>IF(O398="","",INDEX($H$3:$N$3,MATCH(O398,H398:N398,0)))</f>
        <v/>
      </c>
      <c r="Q398" s="23">
        <f>IF(Refino!$L$24="","",G398*Refino!$L$24*(1-RetCraft))</f>
        <v/>
      </c>
      <c r="R398" s="25">
        <f>IF(Artefatos!$L$36="","",Artefatos!$L$36*(1+TaxaCompra))</f>
        <v/>
      </c>
      <c r="S398">
        <f>IF(Artefatos!$M$36="","",Artefatos!$M$36)</f>
        <v/>
      </c>
      <c r="T398" s="25">
        <f>G398*Refino!$D$24+Artefatos!$F$36</f>
        <v/>
      </c>
      <c r="U398" s="25">
        <f>T398*0.1125*FeeCraft/100</f>
        <v/>
      </c>
      <c r="V398" s="23">
        <f>IF(OR(Q398="",R398=""),"",Q398+R398+U398)</f>
        <v/>
      </c>
      <c r="W398" s="23">
        <f>IF(O398="","",O398*(1-TaxaVenda))</f>
        <v/>
      </c>
      <c r="X398" s="26">
        <f>IF(OR(V398="",W398=""),"",W398-V398)</f>
        <v/>
      </c>
      <c r="Y398" s="27">
        <f>IF(X398="","",X398/V398)</f>
        <v/>
      </c>
    </row>
    <row r="399">
      <c r="A399" t="inlineStr">
        <is>
          <t>Juiz (Judicator)|Armadura|T8.0</t>
        </is>
      </c>
      <c r="B399" t="inlineStr">
        <is>
          <t>Juiz (Judicator)</t>
        </is>
      </c>
      <c r="C399" t="inlineStr">
        <is>
          <t>Armadura</t>
        </is>
      </c>
      <c r="D399" t="inlineStr">
        <is>
          <t>T8.0</t>
        </is>
      </c>
      <c r="E399" t="n">
        <v>8</v>
      </c>
      <c r="F399" t="n">
        <v>0</v>
      </c>
      <c r="G399" t="n">
        <v>16</v>
      </c>
      <c r="H399" s="22" t="n"/>
      <c r="I399" s="22" t="n"/>
      <c r="J399" s="22" t="n"/>
      <c r="K399" s="22" t="n"/>
      <c r="L399" s="22" t="n"/>
      <c r="M399" s="22" t="n"/>
      <c r="N399" s="22" t="n"/>
      <c r="O399" s="23">
        <f>IF(COUNT(H399:N399)=0,"",MAX(H399:N399))</f>
        <v/>
      </c>
      <c r="P399" s="24">
        <f>IF(O399="","",INDEX($H$3:$N$3,MATCH(O399,H399:N399,0)))</f>
        <v/>
      </c>
      <c r="Q399" s="23">
        <f>IF(Refino!$L$25="","",G399*Refino!$L$25*(1-RetCraft))</f>
        <v/>
      </c>
      <c r="R399" s="25">
        <f>IF(Artefatos!$L$37="","",Artefatos!$L$37*(1+TaxaCompra))</f>
        <v/>
      </c>
      <c r="S399">
        <f>IF(Artefatos!$M$37="","",Artefatos!$M$37)</f>
        <v/>
      </c>
      <c r="T399" s="25">
        <f>G399*Refino!$D$25+Artefatos!$F$37</f>
        <v/>
      </c>
      <c r="U399" s="25">
        <f>T399*0.1125*FeeCraft/100</f>
        <v/>
      </c>
      <c r="V399" s="23">
        <f>IF(OR(Q399="",R399=""),"",Q399+R399+U399)</f>
        <v/>
      </c>
      <c r="W399" s="23">
        <f>IF(O399="","",O399*(1-TaxaVenda))</f>
        <v/>
      </c>
      <c r="X399" s="26">
        <f>IF(OR(V399="",W399=""),"",W399-V399)</f>
        <v/>
      </c>
      <c r="Y399" s="27">
        <f>IF(X399="","",X399/V399)</f>
        <v/>
      </c>
    </row>
    <row r="400">
      <c r="A400" t="inlineStr">
        <is>
          <t>Juiz (Judicator)|Armadura|T8.1</t>
        </is>
      </c>
      <c r="B400" t="inlineStr">
        <is>
          <t>Juiz (Judicator)</t>
        </is>
      </c>
      <c r="C400" t="inlineStr">
        <is>
          <t>Armadura</t>
        </is>
      </c>
      <c r="D400" t="inlineStr">
        <is>
          <t>T8.1</t>
        </is>
      </c>
      <c r="E400" t="n">
        <v>8</v>
      </c>
      <c r="F400" t="n">
        <v>1</v>
      </c>
      <c r="G400" t="n">
        <v>16</v>
      </c>
      <c r="H400" s="22" t="n"/>
      <c r="I400" s="22" t="n"/>
      <c r="J400" s="22" t="n"/>
      <c r="K400" s="22" t="n"/>
      <c r="L400" s="22" t="n"/>
      <c r="M400" s="22" t="n"/>
      <c r="N400" s="22" t="n"/>
      <c r="O400" s="23">
        <f>IF(COUNT(H400:N400)=0,"",MAX(H400:N400))</f>
        <v/>
      </c>
      <c r="P400" s="24">
        <f>IF(O400="","",INDEX($H$3:$N$3,MATCH(O400,H400:N400,0)))</f>
        <v/>
      </c>
      <c r="Q400" s="23">
        <f>IF(Refino!$L$26="","",G400*Refino!$L$26*(1-RetCraft))</f>
        <v/>
      </c>
      <c r="R400" s="25">
        <f>IF(Artefatos!$L$37="","",Artefatos!$L$37*(1+TaxaCompra))</f>
        <v/>
      </c>
      <c r="S400">
        <f>IF(Artefatos!$M$37="","",Artefatos!$M$37)</f>
        <v/>
      </c>
      <c r="T400" s="25">
        <f>G400*Refino!$D$26+Artefatos!$F$37</f>
        <v/>
      </c>
      <c r="U400" s="25">
        <f>T400*0.1125*FeeCraft/100</f>
        <v/>
      </c>
      <c r="V400" s="23">
        <f>IF(OR(Q400="",R400=""),"",Q400+R400+U400)</f>
        <v/>
      </c>
      <c r="W400" s="23">
        <f>IF(O400="","",O400*(1-TaxaVenda))</f>
        <v/>
      </c>
      <c r="X400" s="26">
        <f>IF(OR(V400="",W400=""),"",W400-V400)</f>
        <v/>
      </c>
      <c r="Y400" s="27">
        <f>IF(X400="","",X400/V400)</f>
        <v/>
      </c>
    </row>
    <row r="401">
      <c r="A401" t="inlineStr">
        <is>
          <t>Juiz (Judicator)|Armadura|T8.2</t>
        </is>
      </c>
      <c r="B401" t="inlineStr">
        <is>
          <t>Juiz (Judicator)</t>
        </is>
      </c>
      <c r="C401" t="inlineStr">
        <is>
          <t>Armadura</t>
        </is>
      </c>
      <c r="D401" t="inlineStr">
        <is>
          <t>T8.2</t>
        </is>
      </c>
      <c r="E401" t="n">
        <v>8</v>
      </c>
      <c r="F401" t="n">
        <v>2</v>
      </c>
      <c r="G401" t="n">
        <v>16</v>
      </c>
      <c r="H401" s="22" t="n"/>
      <c r="I401" s="22" t="n"/>
      <c r="J401" s="22" t="n"/>
      <c r="K401" s="22" t="n"/>
      <c r="L401" s="22" t="n"/>
      <c r="M401" s="22" t="n"/>
      <c r="N401" s="22" t="n"/>
      <c r="O401" s="23">
        <f>IF(COUNT(H401:N401)=0,"",MAX(H401:N401))</f>
        <v/>
      </c>
      <c r="P401" s="24">
        <f>IF(O401="","",INDEX($H$3:$N$3,MATCH(O401,H401:N401,0)))</f>
        <v/>
      </c>
      <c r="Q401" s="23">
        <f>IF(Refino!$L$27="","",G401*Refino!$L$27*(1-RetCraft))</f>
        <v/>
      </c>
      <c r="R401" s="25">
        <f>IF(Artefatos!$L$37="","",Artefatos!$L$37*(1+TaxaCompra))</f>
        <v/>
      </c>
      <c r="S401">
        <f>IF(Artefatos!$M$37="","",Artefatos!$M$37)</f>
        <v/>
      </c>
      <c r="T401" s="25">
        <f>G401*Refino!$D$27+Artefatos!$F$37</f>
        <v/>
      </c>
      <c r="U401" s="25">
        <f>T401*0.1125*FeeCraft/100</f>
        <v/>
      </c>
      <c r="V401" s="23">
        <f>IF(OR(Q401="",R401=""),"",Q401+R401+U401)</f>
        <v/>
      </c>
      <c r="W401" s="23">
        <f>IF(O401="","",O401*(1-TaxaVenda))</f>
        <v/>
      </c>
      <c r="X401" s="26">
        <f>IF(OR(V401="",W401=""),"",W401-V401)</f>
        <v/>
      </c>
      <c r="Y401" s="27">
        <f>IF(X401="","",X401/V401)</f>
        <v/>
      </c>
    </row>
    <row r="402">
      <c r="A402" t="inlineStr">
        <is>
          <t>Juiz (Judicator)|Armadura|T8.3</t>
        </is>
      </c>
      <c r="B402" t="inlineStr">
        <is>
          <t>Juiz (Judicator)</t>
        </is>
      </c>
      <c r="C402" t="inlineStr">
        <is>
          <t>Armadura</t>
        </is>
      </c>
      <c r="D402" t="inlineStr">
        <is>
          <t>T8.3</t>
        </is>
      </c>
      <c r="E402" t="n">
        <v>8</v>
      </c>
      <c r="F402" t="n">
        <v>3</v>
      </c>
      <c r="G402" t="n">
        <v>16</v>
      </c>
      <c r="H402" s="22" t="n"/>
      <c r="I402" s="22" t="n"/>
      <c r="J402" s="22" t="n"/>
      <c r="K402" s="22" t="n"/>
      <c r="L402" s="22" t="n"/>
      <c r="M402" s="22" t="n"/>
      <c r="N402" s="22" t="n"/>
      <c r="O402" s="23">
        <f>IF(COUNT(H402:N402)=0,"",MAX(H402:N402))</f>
        <v/>
      </c>
      <c r="P402" s="24">
        <f>IF(O402="","",INDEX($H$3:$N$3,MATCH(O402,H402:N402,0)))</f>
        <v/>
      </c>
      <c r="Q402" s="23">
        <f>IF(Refino!$L$28="","",G402*Refino!$L$28*(1-RetCraft))</f>
        <v/>
      </c>
      <c r="R402" s="25">
        <f>IF(Artefatos!$L$37="","",Artefatos!$L$37*(1+TaxaCompra))</f>
        <v/>
      </c>
      <c r="S402">
        <f>IF(Artefatos!$M$37="","",Artefatos!$M$37)</f>
        <v/>
      </c>
      <c r="T402" s="25">
        <f>G402*Refino!$D$28+Artefatos!$F$37</f>
        <v/>
      </c>
      <c r="U402" s="25">
        <f>T402*0.1125*FeeCraft/100</f>
        <v/>
      </c>
      <c r="V402" s="23">
        <f>IF(OR(Q402="",R402=""),"",Q402+R402+U402)</f>
        <v/>
      </c>
      <c r="W402" s="23">
        <f>IF(O402="","",O402*(1-TaxaVenda))</f>
        <v/>
      </c>
      <c r="X402" s="26">
        <f>IF(OR(V402="",W402=""),"",W402-V402)</f>
        <v/>
      </c>
      <c r="Y402" s="27">
        <f>IF(X402="","",X402/V402)</f>
        <v/>
      </c>
    </row>
    <row r="403">
      <c r="A403" t="inlineStr">
        <is>
          <t>Juiz (Judicator)|Armadura|T8.4</t>
        </is>
      </c>
      <c r="B403" t="inlineStr">
        <is>
          <t>Juiz (Judicator)</t>
        </is>
      </c>
      <c r="C403" t="inlineStr">
        <is>
          <t>Armadura</t>
        </is>
      </c>
      <c r="D403" t="inlineStr">
        <is>
          <t>T8.4</t>
        </is>
      </c>
      <c r="E403" t="n">
        <v>8</v>
      </c>
      <c r="F403" t="n">
        <v>4</v>
      </c>
      <c r="G403" t="n">
        <v>16</v>
      </c>
      <c r="H403" s="22" t="n"/>
      <c r="I403" s="22" t="n"/>
      <c r="J403" s="22" t="n"/>
      <c r="K403" s="22" t="n"/>
      <c r="L403" s="22" t="n"/>
      <c r="M403" s="22" t="n"/>
      <c r="N403" s="22" t="n"/>
      <c r="O403" s="23">
        <f>IF(COUNT(H403:N403)=0,"",MAX(H403:N403))</f>
        <v/>
      </c>
      <c r="P403" s="24">
        <f>IF(O403="","",INDEX($H$3:$N$3,MATCH(O403,H403:N403,0)))</f>
        <v/>
      </c>
      <c r="Q403" s="23">
        <f>IF(Refino!$L$29="","",G403*Refino!$L$29*(1-RetCraft))</f>
        <v/>
      </c>
      <c r="R403" s="25">
        <f>IF(Artefatos!$L$37="","",Artefatos!$L$37*(1+TaxaCompra))</f>
        <v/>
      </c>
      <c r="S403">
        <f>IF(Artefatos!$M$37="","",Artefatos!$M$37)</f>
        <v/>
      </c>
      <c r="T403" s="25">
        <f>G403*Refino!$D$29+Artefatos!$F$37</f>
        <v/>
      </c>
      <c r="U403" s="25">
        <f>T403*0.1125*FeeCraft/100</f>
        <v/>
      </c>
      <c r="V403" s="23">
        <f>IF(OR(Q403="",R403=""),"",Q403+R403+U403)</f>
        <v/>
      </c>
      <c r="W403" s="23">
        <f>IF(O403="","",O403*(1-TaxaVenda))</f>
        <v/>
      </c>
      <c r="X403" s="26">
        <f>IF(OR(V403="",W403=""),"",W403-V403)</f>
        <v/>
      </c>
      <c r="Y403" s="27">
        <f>IF(X403="","",X403/V403)</f>
        <v/>
      </c>
    </row>
    <row r="404">
      <c r="A404" t="inlineStr">
        <is>
          <t>Juiz (Judicator)|Elmo|T4.0</t>
        </is>
      </c>
      <c r="B404" t="inlineStr">
        <is>
          <t>Juiz (Judicator)</t>
        </is>
      </c>
      <c r="C404" t="inlineStr">
        <is>
          <t>Elmo</t>
        </is>
      </c>
      <c r="D404" t="inlineStr">
        <is>
          <t>T4.0</t>
        </is>
      </c>
      <c r="E404" t="n">
        <v>4</v>
      </c>
      <c r="F404" t="n">
        <v>0</v>
      </c>
      <c r="G404" t="n">
        <v>8</v>
      </c>
      <c r="H404" s="22" t="n"/>
      <c r="I404" s="22" t="n"/>
      <c r="J404" s="22" t="n"/>
      <c r="K404" s="22" t="n"/>
      <c r="L404" s="22" t="n"/>
      <c r="M404" s="22" t="n"/>
      <c r="N404" s="22" t="n"/>
      <c r="O404" s="23">
        <f>IF(COUNT(H404:N404)=0,"",MAX(H404:N404))</f>
        <v/>
      </c>
      <c r="P404" s="24">
        <f>IF(O404="","",INDEX($H$3:$N$3,MATCH(O404,H404:N404,0)))</f>
        <v/>
      </c>
      <c r="Q404" s="23">
        <f>IF(Refino!$L$5="","",G404*Refino!$L$5*(1-RetCraft))</f>
        <v/>
      </c>
      <c r="R404" s="25">
        <f>IF(Artefatos!$L$38="","",Artefatos!$L$38*(1+TaxaCompra))</f>
        <v/>
      </c>
      <c r="S404">
        <f>IF(Artefatos!$M$38="","",Artefatos!$M$38)</f>
        <v/>
      </c>
      <c r="T404" s="25">
        <f>G404*Refino!$D$5+Artefatos!$F$38</f>
        <v/>
      </c>
      <c r="U404" s="25">
        <f>T404*0.1125*FeeCraft/100</f>
        <v/>
      </c>
      <c r="V404" s="23">
        <f>IF(OR(Q404="",R404=""),"",Q404+R404+U404)</f>
        <v/>
      </c>
      <c r="W404" s="23">
        <f>IF(O404="","",O404*(1-TaxaVenda))</f>
        <v/>
      </c>
      <c r="X404" s="26">
        <f>IF(OR(V404="",W404=""),"",W404-V404)</f>
        <v/>
      </c>
      <c r="Y404" s="27">
        <f>IF(X404="","",X404/V404)</f>
        <v/>
      </c>
    </row>
    <row r="405">
      <c r="A405" t="inlineStr">
        <is>
          <t>Juiz (Judicator)|Elmo|T4.1</t>
        </is>
      </c>
      <c r="B405" t="inlineStr">
        <is>
          <t>Juiz (Judicator)</t>
        </is>
      </c>
      <c r="C405" t="inlineStr">
        <is>
          <t>Elmo</t>
        </is>
      </c>
      <c r="D405" t="inlineStr">
        <is>
          <t>T4.1</t>
        </is>
      </c>
      <c r="E405" t="n">
        <v>4</v>
      </c>
      <c r="F405" t="n">
        <v>1</v>
      </c>
      <c r="G405" t="n">
        <v>8</v>
      </c>
      <c r="H405" s="22" t="n"/>
      <c r="I405" s="22" t="n"/>
      <c r="J405" s="22" t="n"/>
      <c r="K405" s="22" t="n"/>
      <c r="L405" s="22" t="n"/>
      <c r="M405" s="22" t="n"/>
      <c r="N405" s="22" t="n"/>
      <c r="O405" s="23">
        <f>IF(COUNT(H405:N405)=0,"",MAX(H405:N405))</f>
        <v/>
      </c>
      <c r="P405" s="24">
        <f>IF(O405="","",INDEX($H$3:$N$3,MATCH(O405,H405:N405,0)))</f>
        <v/>
      </c>
      <c r="Q405" s="23">
        <f>IF(Refino!$L$6="","",G405*Refino!$L$6*(1-RetCraft))</f>
        <v/>
      </c>
      <c r="R405" s="25">
        <f>IF(Artefatos!$L$38="","",Artefatos!$L$38*(1+TaxaCompra))</f>
        <v/>
      </c>
      <c r="S405">
        <f>IF(Artefatos!$M$38="","",Artefatos!$M$38)</f>
        <v/>
      </c>
      <c r="T405" s="25">
        <f>G405*Refino!$D$6+Artefatos!$F$38</f>
        <v/>
      </c>
      <c r="U405" s="25">
        <f>T405*0.1125*FeeCraft/100</f>
        <v/>
      </c>
      <c r="V405" s="23">
        <f>IF(OR(Q405="",R405=""),"",Q405+R405+U405)</f>
        <v/>
      </c>
      <c r="W405" s="23">
        <f>IF(O405="","",O405*(1-TaxaVenda))</f>
        <v/>
      </c>
      <c r="X405" s="26">
        <f>IF(OR(V405="",W405=""),"",W405-V405)</f>
        <v/>
      </c>
      <c r="Y405" s="27">
        <f>IF(X405="","",X405/V405)</f>
        <v/>
      </c>
    </row>
    <row r="406">
      <c r="A406" t="inlineStr">
        <is>
          <t>Juiz (Judicator)|Elmo|T4.2</t>
        </is>
      </c>
      <c r="B406" t="inlineStr">
        <is>
          <t>Juiz (Judicator)</t>
        </is>
      </c>
      <c r="C406" t="inlineStr">
        <is>
          <t>Elmo</t>
        </is>
      </c>
      <c r="D406" t="inlineStr">
        <is>
          <t>T4.2</t>
        </is>
      </c>
      <c r="E406" t="n">
        <v>4</v>
      </c>
      <c r="F406" t="n">
        <v>2</v>
      </c>
      <c r="G406" t="n">
        <v>8</v>
      </c>
      <c r="H406" s="22" t="n"/>
      <c r="I406" s="22" t="n"/>
      <c r="J406" s="22" t="n"/>
      <c r="K406" s="22" t="n"/>
      <c r="L406" s="22" t="n"/>
      <c r="M406" s="22" t="n"/>
      <c r="N406" s="22" t="n"/>
      <c r="O406" s="23">
        <f>IF(COUNT(H406:N406)=0,"",MAX(H406:N406))</f>
        <v/>
      </c>
      <c r="P406" s="24">
        <f>IF(O406="","",INDEX($H$3:$N$3,MATCH(O406,H406:N406,0)))</f>
        <v/>
      </c>
      <c r="Q406" s="23">
        <f>IF(Refino!$L$7="","",G406*Refino!$L$7*(1-RetCraft))</f>
        <v/>
      </c>
      <c r="R406" s="25">
        <f>IF(Artefatos!$L$38="","",Artefatos!$L$38*(1+TaxaCompra))</f>
        <v/>
      </c>
      <c r="S406">
        <f>IF(Artefatos!$M$38="","",Artefatos!$M$38)</f>
        <v/>
      </c>
      <c r="T406" s="25">
        <f>G406*Refino!$D$7+Artefatos!$F$38</f>
        <v/>
      </c>
      <c r="U406" s="25">
        <f>T406*0.1125*FeeCraft/100</f>
        <v/>
      </c>
      <c r="V406" s="23">
        <f>IF(OR(Q406="",R406=""),"",Q406+R406+U406)</f>
        <v/>
      </c>
      <c r="W406" s="23">
        <f>IF(O406="","",O406*(1-TaxaVenda))</f>
        <v/>
      </c>
      <c r="X406" s="26">
        <f>IF(OR(V406="",W406=""),"",W406-V406)</f>
        <v/>
      </c>
      <c r="Y406" s="27">
        <f>IF(X406="","",X406/V406)</f>
        <v/>
      </c>
    </row>
    <row r="407">
      <c r="A407" t="inlineStr">
        <is>
          <t>Juiz (Judicator)|Elmo|T4.3</t>
        </is>
      </c>
      <c r="B407" t="inlineStr">
        <is>
          <t>Juiz (Judicator)</t>
        </is>
      </c>
      <c r="C407" t="inlineStr">
        <is>
          <t>Elmo</t>
        </is>
      </c>
      <c r="D407" t="inlineStr">
        <is>
          <t>T4.3</t>
        </is>
      </c>
      <c r="E407" t="n">
        <v>4</v>
      </c>
      <c r="F407" t="n">
        <v>3</v>
      </c>
      <c r="G407" t="n">
        <v>8</v>
      </c>
      <c r="H407" s="22" t="n"/>
      <c r="I407" s="22" t="n"/>
      <c r="J407" s="22" t="n"/>
      <c r="K407" s="22" t="n"/>
      <c r="L407" s="22" t="n"/>
      <c r="M407" s="22" t="n"/>
      <c r="N407" s="22" t="n"/>
      <c r="O407" s="23">
        <f>IF(COUNT(H407:N407)=0,"",MAX(H407:N407))</f>
        <v/>
      </c>
      <c r="P407" s="24">
        <f>IF(O407="","",INDEX($H$3:$N$3,MATCH(O407,H407:N407,0)))</f>
        <v/>
      </c>
      <c r="Q407" s="23">
        <f>IF(Refino!$L$8="","",G407*Refino!$L$8*(1-RetCraft))</f>
        <v/>
      </c>
      <c r="R407" s="25">
        <f>IF(Artefatos!$L$38="","",Artefatos!$L$38*(1+TaxaCompra))</f>
        <v/>
      </c>
      <c r="S407">
        <f>IF(Artefatos!$M$38="","",Artefatos!$M$38)</f>
        <v/>
      </c>
      <c r="T407" s="25">
        <f>G407*Refino!$D$8+Artefatos!$F$38</f>
        <v/>
      </c>
      <c r="U407" s="25">
        <f>T407*0.1125*FeeCraft/100</f>
        <v/>
      </c>
      <c r="V407" s="23">
        <f>IF(OR(Q407="",R407=""),"",Q407+R407+U407)</f>
        <v/>
      </c>
      <c r="W407" s="23">
        <f>IF(O407="","",O407*(1-TaxaVenda))</f>
        <v/>
      </c>
      <c r="X407" s="26">
        <f>IF(OR(V407="",W407=""),"",W407-V407)</f>
        <v/>
      </c>
      <c r="Y407" s="27">
        <f>IF(X407="","",X407/V407)</f>
        <v/>
      </c>
    </row>
    <row r="408">
      <c r="A408" t="inlineStr">
        <is>
          <t>Juiz (Judicator)|Elmo|T4.4</t>
        </is>
      </c>
      <c r="B408" t="inlineStr">
        <is>
          <t>Juiz (Judicator)</t>
        </is>
      </c>
      <c r="C408" t="inlineStr">
        <is>
          <t>Elmo</t>
        </is>
      </c>
      <c r="D408" t="inlineStr">
        <is>
          <t>T4.4</t>
        </is>
      </c>
      <c r="E408" t="n">
        <v>4</v>
      </c>
      <c r="F408" t="n">
        <v>4</v>
      </c>
      <c r="G408" t="n">
        <v>8</v>
      </c>
      <c r="H408" s="22" t="n"/>
      <c r="I408" s="22" t="n"/>
      <c r="J408" s="22" t="n"/>
      <c r="K408" s="22" t="n"/>
      <c r="L408" s="22" t="n"/>
      <c r="M408" s="22" t="n"/>
      <c r="N408" s="22" t="n"/>
      <c r="O408" s="23">
        <f>IF(COUNT(H408:N408)=0,"",MAX(H408:N408))</f>
        <v/>
      </c>
      <c r="P408" s="24">
        <f>IF(O408="","",INDEX($H$3:$N$3,MATCH(O408,H408:N408,0)))</f>
        <v/>
      </c>
      <c r="Q408" s="23">
        <f>IF(Refino!$L$9="","",G408*Refino!$L$9*(1-RetCraft))</f>
        <v/>
      </c>
      <c r="R408" s="25">
        <f>IF(Artefatos!$L$38="","",Artefatos!$L$38*(1+TaxaCompra))</f>
        <v/>
      </c>
      <c r="S408">
        <f>IF(Artefatos!$M$38="","",Artefatos!$M$38)</f>
        <v/>
      </c>
      <c r="T408" s="25">
        <f>G408*Refino!$D$9+Artefatos!$F$38</f>
        <v/>
      </c>
      <c r="U408" s="25">
        <f>T408*0.1125*FeeCraft/100</f>
        <v/>
      </c>
      <c r="V408" s="23">
        <f>IF(OR(Q408="",R408=""),"",Q408+R408+U408)</f>
        <v/>
      </c>
      <c r="W408" s="23">
        <f>IF(O408="","",O408*(1-TaxaVenda))</f>
        <v/>
      </c>
      <c r="X408" s="26">
        <f>IF(OR(V408="",W408=""),"",W408-V408)</f>
        <v/>
      </c>
      <c r="Y408" s="27">
        <f>IF(X408="","",X408/V408)</f>
        <v/>
      </c>
    </row>
    <row r="409">
      <c r="A409" t="inlineStr">
        <is>
          <t>Juiz (Judicator)|Elmo|T5.0</t>
        </is>
      </c>
      <c r="B409" t="inlineStr">
        <is>
          <t>Juiz (Judicator)</t>
        </is>
      </c>
      <c r="C409" t="inlineStr">
        <is>
          <t>Elmo</t>
        </is>
      </c>
      <c r="D409" t="inlineStr">
        <is>
          <t>T5.0</t>
        </is>
      </c>
      <c r="E409" t="n">
        <v>5</v>
      </c>
      <c r="F409" t="n">
        <v>0</v>
      </c>
      <c r="G409" t="n">
        <v>8</v>
      </c>
      <c r="H409" s="22" t="n"/>
      <c r="I409" s="22" t="n"/>
      <c r="J409" s="22" t="n"/>
      <c r="K409" s="22" t="n"/>
      <c r="L409" s="22" t="n"/>
      <c r="M409" s="22" t="n"/>
      <c r="N409" s="22" t="n"/>
      <c r="O409" s="23">
        <f>IF(COUNT(H409:N409)=0,"",MAX(H409:N409))</f>
        <v/>
      </c>
      <c r="P409" s="24">
        <f>IF(O409="","",INDEX($H$3:$N$3,MATCH(O409,H409:N409,0)))</f>
        <v/>
      </c>
      <c r="Q409" s="23">
        <f>IF(Refino!$L$10="","",G409*Refino!$L$10*(1-RetCraft))</f>
        <v/>
      </c>
      <c r="R409" s="25">
        <f>IF(Artefatos!$L$39="","",Artefatos!$L$39*(1+TaxaCompra))</f>
        <v/>
      </c>
      <c r="S409">
        <f>IF(Artefatos!$M$39="","",Artefatos!$M$39)</f>
        <v/>
      </c>
      <c r="T409" s="25">
        <f>G409*Refino!$D$10+Artefatos!$F$39</f>
        <v/>
      </c>
      <c r="U409" s="25">
        <f>T409*0.1125*FeeCraft/100</f>
        <v/>
      </c>
      <c r="V409" s="23">
        <f>IF(OR(Q409="",R409=""),"",Q409+R409+U409)</f>
        <v/>
      </c>
      <c r="W409" s="23">
        <f>IF(O409="","",O409*(1-TaxaVenda))</f>
        <v/>
      </c>
      <c r="X409" s="26">
        <f>IF(OR(V409="",W409=""),"",W409-V409)</f>
        <v/>
      </c>
      <c r="Y409" s="27">
        <f>IF(X409="","",X409/V409)</f>
        <v/>
      </c>
    </row>
    <row r="410">
      <c r="A410" t="inlineStr">
        <is>
          <t>Juiz (Judicator)|Elmo|T5.1</t>
        </is>
      </c>
      <c r="B410" t="inlineStr">
        <is>
          <t>Juiz (Judicator)</t>
        </is>
      </c>
      <c r="C410" t="inlineStr">
        <is>
          <t>Elmo</t>
        </is>
      </c>
      <c r="D410" t="inlineStr">
        <is>
          <t>T5.1</t>
        </is>
      </c>
      <c r="E410" t="n">
        <v>5</v>
      </c>
      <c r="F410" t="n">
        <v>1</v>
      </c>
      <c r="G410" t="n">
        <v>8</v>
      </c>
      <c r="H410" s="22" t="n"/>
      <c r="I410" s="22" t="n"/>
      <c r="J410" s="22" t="n"/>
      <c r="K410" s="22" t="n"/>
      <c r="L410" s="22" t="n"/>
      <c r="M410" s="22" t="n"/>
      <c r="N410" s="22" t="n"/>
      <c r="O410" s="23">
        <f>IF(COUNT(H410:N410)=0,"",MAX(H410:N410))</f>
        <v/>
      </c>
      <c r="P410" s="24">
        <f>IF(O410="","",INDEX($H$3:$N$3,MATCH(O410,H410:N410,0)))</f>
        <v/>
      </c>
      <c r="Q410" s="23">
        <f>IF(Refino!$L$11="","",G410*Refino!$L$11*(1-RetCraft))</f>
        <v/>
      </c>
      <c r="R410" s="25">
        <f>IF(Artefatos!$L$39="","",Artefatos!$L$39*(1+TaxaCompra))</f>
        <v/>
      </c>
      <c r="S410">
        <f>IF(Artefatos!$M$39="","",Artefatos!$M$39)</f>
        <v/>
      </c>
      <c r="T410" s="25">
        <f>G410*Refino!$D$11+Artefatos!$F$39</f>
        <v/>
      </c>
      <c r="U410" s="25">
        <f>T410*0.1125*FeeCraft/100</f>
        <v/>
      </c>
      <c r="V410" s="23">
        <f>IF(OR(Q410="",R410=""),"",Q410+R410+U410)</f>
        <v/>
      </c>
      <c r="W410" s="23">
        <f>IF(O410="","",O410*(1-TaxaVenda))</f>
        <v/>
      </c>
      <c r="X410" s="26">
        <f>IF(OR(V410="",W410=""),"",W410-V410)</f>
        <v/>
      </c>
      <c r="Y410" s="27">
        <f>IF(X410="","",X410/V410)</f>
        <v/>
      </c>
    </row>
    <row r="411">
      <c r="A411" t="inlineStr">
        <is>
          <t>Juiz (Judicator)|Elmo|T5.2</t>
        </is>
      </c>
      <c r="B411" t="inlineStr">
        <is>
          <t>Juiz (Judicator)</t>
        </is>
      </c>
      <c r="C411" t="inlineStr">
        <is>
          <t>Elmo</t>
        </is>
      </c>
      <c r="D411" t="inlineStr">
        <is>
          <t>T5.2</t>
        </is>
      </c>
      <c r="E411" t="n">
        <v>5</v>
      </c>
      <c r="F411" t="n">
        <v>2</v>
      </c>
      <c r="G411" t="n">
        <v>8</v>
      </c>
      <c r="H411" s="22" t="n"/>
      <c r="I411" s="22" t="n"/>
      <c r="J411" s="22" t="n"/>
      <c r="K411" s="22" t="n"/>
      <c r="L411" s="22" t="n"/>
      <c r="M411" s="22" t="n"/>
      <c r="N411" s="22" t="n"/>
      <c r="O411" s="23">
        <f>IF(COUNT(H411:N411)=0,"",MAX(H411:N411))</f>
        <v/>
      </c>
      <c r="P411" s="24">
        <f>IF(O411="","",INDEX($H$3:$N$3,MATCH(O411,H411:N411,0)))</f>
        <v/>
      </c>
      <c r="Q411" s="23">
        <f>IF(Refino!$L$12="","",G411*Refino!$L$12*(1-RetCraft))</f>
        <v/>
      </c>
      <c r="R411" s="25">
        <f>IF(Artefatos!$L$39="","",Artefatos!$L$39*(1+TaxaCompra))</f>
        <v/>
      </c>
      <c r="S411">
        <f>IF(Artefatos!$M$39="","",Artefatos!$M$39)</f>
        <v/>
      </c>
      <c r="T411" s="25">
        <f>G411*Refino!$D$12+Artefatos!$F$39</f>
        <v/>
      </c>
      <c r="U411" s="25">
        <f>T411*0.1125*FeeCraft/100</f>
        <v/>
      </c>
      <c r="V411" s="23">
        <f>IF(OR(Q411="",R411=""),"",Q411+R411+U411)</f>
        <v/>
      </c>
      <c r="W411" s="23">
        <f>IF(O411="","",O411*(1-TaxaVenda))</f>
        <v/>
      </c>
      <c r="X411" s="26">
        <f>IF(OR(V411="",W411=""),"",W411-V411)</f>
        <v/>
      </c>
      <c r="Y411" s="27">
        <f>IF(X411="","",X411/V411)</f>
        <v/>
      </c>
    </row>
    <row r="412">
      <c r="A412" t="inlineStr">
        <is>
          <t>Juiz (Judicator)|Elmo|T5.3</t>
        </is>
      </c>
      <c r="B412" t="inlineStr">
        <is>
          <t>Juiz (Judicator)</t>
        </is>
      </c>
      <c r="C412" t="inlineStr">
        <is>
          <t>Elmo</t>
        </is>
      </c>
      <c r="D412" t="inlineStr">
        <is>
          <t>T5.3</t>
        </is>
      </c>
      <c r="E412" t="n">
        <v>5</v>
      </c>
      <c r="F412" t="n">
        <v>3</v>
      </c>
      <c r="G412" t="n">
        <v>8</v>
      </c>
      <c r="H412" s="22" t="n"/>
      <c r="I412" s="22" t="n"/>
      <c r="J412" s="22" t="n"/>
      <c r="K412" s="22" t="n"/>
      <c r="L412" s="22" t="n"/>
      <c r="M412" s="22" t="n"/>
      <c r="N412" s="22" t="n"/>
      <c r="O412" s="23">
        <f>IF(COUNT(H412:N412)=0,"",MAX(H412:N412))</f>
        <v/>
      </c>
      <c r="P412" s="24">
        <f>IF(O412="","",INDEX($H$3:$N$3,MATCH(O412,H412:N412,0)))</f>
        <v/>
      </c>
      <c r="Q412" s="23">
        <f>IF(Refino!$L$13="","",G412*Refino!$L$13*(1-RetCraft))</f>
        <v/>
      </c>
      <c r="R412" s="25">
        <f>IF(Artefatos!$L$39="","",Artefatos!$L$39*(1+TaxaCompra))</f>
        <v/>
      </c>
      <c r="S412">
        <f>IF(Artefatos!$M$39="","",Artefatos!$M$39)</f>
        <v/>
      </c>
      <c r="T412" s="25">
        <f>G412*Refino!$D$13+Artefatos!$F$39</f>
        <v/>
      </c>
      <c r="U412" s="25">
        <f>T412*0.1125*FeeCraft/100</f>
        <v/>
      </c>
      <c r="V412" s="23">
        <f>IF(OR(Q412="",R412=""),"",Q412+R412+U412)</f>
        <v/>
      </c>
      <c r="W412" s="23">
        <f>IF(O412="","",O412*(1-TaxaVenda))</f>
        <v/>
      </c>
      <c r="X412" s="26">
        <f>IF(OR(V412="",W412=""),"",W412-V412)</f>
        <v/>
      </c>
      <c r="Y412" s="27">
        <f>IF(X412="","",X412/V412)</f>
        <v/>
      </c>
    </row>
    <row r="413">
      <c r="A413" t="inlineStr">
        <is>
          <t>Juiz (Judicator)|Elmo|T5.4</t>
        </is>
      </c>
      <c r="B413" t="inlineStr">
        <is>
          <t>Juiz (Judicator)</t>
        </is>
      </c>
      <c r="C413" t="inlineStr">
        <is>
          <t>Elmo</t>
        </is>
      </c>
      <c r="D413" t="inlineStr">
        <is>
          <t>T5.4</t>
        </is>
      </c>
      <c r="E413" t="n">
        <v>5</v>
      </c>
      <c r="F413" t="n">
        <v>4</v>
      </c>
      <c r="G413" t="n">
        <v>8</v>
      </c>
      <c r="H413" s="22" t="n"/>
      <c r="I413" s="22" t="n"/>
      <c r="J413" s="22" t="n"/>
      <c r="K413" s="22" t="n"/>
      <c r="L413" s="22" t="n"/>
      <c r="M413" s="22" t="n"/>
      <c r="N413" s="22" t="n"/>
      <c r="O413" s="23">
        <f>IF(COUNT(H413:N413)=0,"",MAX(H413:N413))</f>
        <v/>
      </c>
      <c r="P413" s="24">
        <f>IF(O413="","",INDEX($H$3:$N$3,MATCH(O413,H413:N413,0)))</f>
        <v/>
      </c>
      <c r="Q413" s="23">
        <f>IF(Refino!$L$14="","",G413*Refino!$L$14*(1-RetCraft))</f>
        <v/>
      </c>
      <c r="R413" s="25">
        <f>IF(Artefatos!$L$39="","",Artefatos!$L$39*(1+TaxaCompra))</f>
        <v/>
      </c>
      <c r="S413">
        <f>IF(Artefatos!$M$39="","",Artefatos!$M$39)</f>
        <v/>
      </c>
      <c r="T413" s="25">
        <f>G413*Refino!$D$14+Artefatos!$F$39</f>
        <v/>
      </c>
      <c r="U413" s="25">
        <f>T413*0.1125*FeeCraft/100</f>
        <v/>
      </c>
      <c r="V413" s="23">
        <f>IF(OR(Q413="",R413=""),"",Q413+R413+U413)</f>
        <v/>
      </c>
      <c r="W413" s="23">
        <f>IF(O413="","",O413*(1-TaxaVenda))</f>
        <v/>
      </c>
      <c r="X413" s="26">
        <f>IF(OR(V413="",W413=""),"",W413-V413)</f>
        <v/>
      </c>
      <c r="Y413" s="27">
        <f>IF(X413="","",X413/V413)</f>
        <v/>
      </c>
    </row>
    <row r="414">
      <c r="A414" t="inlineStr">
        <is>
          <t>Juiz (Judicator)|Elmo|T6.0</t>
        </is>
      </c>
      <c r="B414" t="inlineStr">
        <is>
          <t>Juiz (Judicator)</t>
        </is>
      </c>
      <c r="C414" t="inlineStr">
        <is>
          <t>Elmo</t>
        </is>
      </c>
      <c r="D414" t="inlineStr">
        <is>
          <t>T6.0</t>
        </is>
      </c>
      <c r="E414" t="n">
        <v>6</v>
      </c>
      <c r="F414" t="n">
        <v>0</v>
      </c>
      <c r="G414" t="n">
        <v>8</v>
      </c>
      <c r="H414" s="22" t="n"/>
      <c r="I414" s="22" t="n"/>
      <c r="J414" s="22" t="n"/>
      <c r="K414" s="22" t="n"/>
      <c r="L414" s="22" t="n"/>
      <c r="M414" s="22" t="n"/>
      <c r="N414" s="22" t="n"/>
      <c r="O414" s="23">
        <f>IF(COUNT(H414:N414)=0,"",MAX(H414:N414))</f>
        <v/>
      </c>
      <c r="P414" s="24">
        <f>IF(O414="","",INDEX($H$3:$N$3,MATCH(O414,H414:N414,0)))</f>
        <v/>
      </c>
      <c r="Q414" s="23">
        <f>IF(Refino!$L$15="","",G414*Refino!$L$15*(1-RetCraft))</f>
        <v/>
      </c>
      <c r="R414" s="25">
        <f>IF(Artefatos!$L$40="","",Artefatos!$L$40*(1+TaxaCompra))</f>
        <v/>
      </c>
      <c r="S414">
        <f>IF(Artefatos!$M$40="","",Artefatos!$M$40)</f>
        <v/>
      </c>
      <c r="T414" s="25">
        <f>G414*Refino!$D$15+Artefatos!$F$40</f>
        <v/>
      </c>
      <c r="U414" s="25">
        <f>T414*0.1125*FeeCraft/100</f>
        <v/>
      </c>
      <c r="V414" s="23">
        <f>IF(OR(Q414="",R414=""),"",Q414+R414+U414)</f>
        <v/>
      </c>
      <c r="W414" s="23">
        <f>IF(O414="","",O414*(1-TaxaVenda))</f>
        <v/>
      </c>
      <c r="X414" s="26">
        <f>IF(OR(V414="",W414=""),"",W414-V414)</f>
        <v/>
      </c>
      <c r="Y414" s="27">
        <f>IF(X414="","",X414/V414)</f>
        <v/>
      </c>
    </row>
    <row r="415">
      <c r="A415" t="inlineStr">
        <is>
          <t>Juiz (Judicator)|Elmo|T6.1</t>
        </is>
      </c>
      <c r="B415" t="inlineStr">
        <is>
          <t>Juiz (Judicator)</t>
        </is>
      </c>
      <c r="C415" t="inlineStr">
        <is>
          <t>Elmo</t>
        </is>
      </c>
      <c r="D415" t="inlineStr">
        <is>
          <t>T6.1</t>
        </is>
      </c>
      <c r="E415" t="n">
        <v>6</v>
      </c>
      <c r="F415" t="n">
        <v>1</v>
      </c>
      <c r="G415" t="n">
        <v>8</v>
      </c>
      <c r="H415" s="22" t="n"/>
      <c r="I415" s="22" t="n"/>
      <c r="J415" s="22" t="n"/>
      <c r="K415" s="22" t="n"/>
      <c r="L415" s="22" t="n"/>
      <c r="M415" s="22" t="n"/>
      <c r="N415" s="22" t="n"/>
      <c r="O415" s="23">
        <f>IF(COUNT(H415:N415)=0,"",MAX(H415:N415))</f>
        <v/>
      </c>
      <c r="P415" s="24">
        <f>IF(O415="","",INDEX($H$3:$N$3,MATCH(O415,H415:N415,0)))</f>
        <v/>
      </c>
      <c r="Q415" s="23">
        <f>IF(Refino!$L$16="","",G415*Refino!$L$16*(1-RetCraft))</f>
        <v/>
      </c>
      <c r="R415" s="25">
        <f>IF(Artefatos!$L$40="","",Artefatos!$L$40*(1+TaxaCompra))</f>
        <v/>
      </c>
      <c r="S415">
        <f>IF(Artefatos!$M$40="","",Artefatos!$M$40)</f>
        <v/>
      </c>
      <c r="T415" s="25">
        <f>G415*Refino!$D$16+Artefatos!$F$40</f>
        <v/>
      </c>
      <c r="U415" s="25">
        <f>T415*0.1125*FeeCraft/100</f>
        <v/>
      </c>
      <c r="V415" s="23">
        <f>IF(OR(Q415="",R415=""),"",Q415+R415+U415)</f>
        <v/>
      </c>
      <c r="W415" s="23">
        <f>IF(O415="","",O415*(1-TaxaVenda))</f>
        <v/>
      </c>
      <c r="X415" s="26">
        <f>IF(OR(V415="",W415=""),"",W415-V415)</f>
        <v/>
      </c>
      <c r="Y415" s="27">
        <f>IF(X415="","",X415/V415)</f>
        <v/>
      </c>
    </row>
    <row r="416">
      <c r="A416" t="inlineStr">
        <is>
          <t>Juiz (Judicator)|Elmo|T6.2</t>
        </is>
      </c>
      <c r="B416" t="inlineStr">
        <is>
          <t>Juiz (Judicator)</t>
        </is>
      </c>
      <c r="C416" t="inlineStr">
        <is>
          <t>Elmo</t>
        </is>
      </c>
      <c r="D416" t="inlineStr">
        <is>
          <t>T6.2</t>
        </is>
      </c>
      <c r="E416" t="n">
        <v>6</v>
      </c>
      <c r="F416" t="n">
        <v>2</v>
      </c>
      <c r="G416" t="n">
        <v>8</v>
      </c>
      <c r="H416" s="22" t="n"/>
      <c r="I416" s="22" t="n"/>
      <c r="J416" s="22" t="n"/>
      <c r="K416" s="22" t="n"/>
      <c r="L416" s="22" t="n"/>
      <c r="M416" s="22" t="n"/>
      <c r="N416" s="22" t="n"/>
      <c r="O416" s="23">
        <f>IF(COUNT(H416:N416)=0,"",MAX(H416:N416))</f>
        <v/>
      </c>
      <c r="P416" s="24">
        <f>IF(O416="","",INDEX($H$3:$N$3,MATCH(O416,H416:N416,0)))</f>
        <v/>
      </c>
      <c r="Q416" s="23">
        <f>IF(Refino!$L$17="","",G416*Refino!$L$17*(1-RetCraft))</f>
        <v/>
      </c>
      <c r="R416" s="25">
        <f>IF(Artefatos!$L$40="","",Artefatos!$L$40*(1+TaxaCompra))</f>
        <v/>
      </c>
      <c r="S416">
        <f>IF(Artefatos!$M$40="","",Artefatos!$M$40)</f>
        <v/>
      </c>
      <c r="T416" s="25">
        <f>G416*Refino!$D$17+Artefatos!$F$40</f>
        <v/>
      </c>
      <c r="U416" s="25">
        <f>T416*0.1125*FeeCraft/100</f>
        <v/>
      </c>
      <c r="V416" s="23">
        <f>IF(OR(Q416="",R416=""),"",Q416+R416+U416)</f>
        <v/>
      </c>
      <c r="W416" s="23">
        <f>IF(O416="","",O416*(1-TaxaVenda))</f>
        <v/>
      </c>
      <c r="X416" s="26">
        <f>IF(OR(V416="",W416=""),"",W416-V416)</f>
        <v/>
      </c>
      <c r="Y416" s="27">
        <f>IF(X416="","",X416/V416)</f>
        <v/>
      </c>
    </row>
    <row r="417">
      <c r="A417" t="inlineStr">
        <is>
          <t>Juiz (Judicator)|Elmo|T6.3</t>
        </is>
      </c>
      <c r="B417" t="inlineStr">
        <is>
          <t>Juiz (Judicator)</t>
        </is>
      </c>
      <c r="C417" t="inlineStr">
        <is>
          <t>Elmo</t>
        </is>
      </c>
      <c r="D417" t="inlineStr">
        <is>
          <t>T6.3</t>
        </is>
      </c>
      <c r="E417" t="n">
        <v>6</v>
      </c>
      <c r="F417" t="n">
        <v>3</v>
      </c>
      <c r="G417" t="n">
        <v>8</v>
      </c>
      <c r="H417" s="22" t="n"/>
      <c r="I417" s="22" t="n"/>
      <c r="J417" s="22" t="n"/>
      <c r="K417" s="22" t="n"/>
      <c r="L417" s="22" t="n"/>
      <c r="M417" s="22" t="n"/>
      <c r="N417" s="22" t="n"/>
      <c r="O417" s="23">
        <f>IF(COUNT(H417:N417)=0,"",MAX(H417:N417))</f>
        <v/>
      </c>
      <c r="P417" s="24">
        <f>IF(O417="","",INDEX($H$3:$N$3,MATCH(O417,H417:N417,0)))</f>
        <v/>
      </c>
      <c r="Q417" s="23">
        <f>IF(Refino!$L$18="","",G417*Refino!$L$18*(1-RetCraft))</f>
        <v/>
      </c>
      <c r="R417" s="25">
        <f>IF(Artefatos!$L$40="","",Artefatos!$L$40*(1+TaxaCompra))</f>
        <v/>
      </c>
      <c r="S417">
        <f>IF(Artefatos!$M$40="","",Artefatos!$M$40)</f>
        <v/>
      </c>
      <c r="T417" s="25">
        <f>G417*Refino!$D$18+Artefatos!$F$40</f>
        <v/>
      </c>
      <c r="U417" s="25">
        <f>T417*0.1125*FeeCraft/100</f>
        <v/>
      </c>
      <c r="V417" s="23">
        <f>IF(OR(Q417="",R417=""),"",Q417+R417+U417)</f>
        <v/>
      </c>
      <c r="W417" s="23">
        <f>IF(O417="","",O417*(1-TaxaVenda))</f>
        <v/>
      </c>
      <c r="X417" s="26">
        <f>IF(OR(V417="",W417=""),"",W417-V417)</f>
        <v/>
      </c>
      <c r="Y417" s="27">
        <f>IF(X417="","",X417/V417)</f>
        <v/>
      </c>
    </row>
    <row r="418">
      <c r="A418" t="inlineStr">
        <is>
          <t>Juiz (Judicator)|Elmo|T6.4</t>
        </is>
      </c>
      <c r="B418" t="inlineStr">
        <is>
          <t>Juiz (Judicator)</t>
        </is>
      </c>
      <c r="C418" t="inlineStr">
        <is>
          <t>Elmo</t>
        </is>
      </c>
      <c r="D418" t="inlineStr">
        <is>
          <t>T6.4</t>
        </is>
      </c>
      <c r="E418" t="n">
        <v>6</v>
      </c>
      <c r="F418" t="n">
        <v>4</v>
      </c>
      <c r="G418" t="n">
        <v>8</v>
      </c>
      <c r="H418" s="22" t="n"/>
      <c r="I418" s="22" t="n"/>
      <c r="J418" s="22" t="n"/>
      <c r="K418" s="22" t="n"/>
      <c r="L418" s="22" t="n"/>
      <c r="M418" s="22" t="n"/>
      <c r="N418" s="22" t="n"/>
      <c r="O418" s="23">
        <f>IF(COUNT(H418:N418)=0,"",MAX(H418:N418))</f>
        <v/>
      </c>
      <c r="P418" s="24">
        <f>IF(O418="","",INDEX($H$3:$N$3,MATCH(O418,H418:N418,0)))</f>
        <v/>
      </c>
      <c r="Q418" s="23">
        <f>IF(Refino!$L$19="","",G418*Refino!$L$19*(1-RetCraft))</f>
        <v/>
      </c>
      <c r="R418" s="25">
        <f>IF(Artefatos!$L$40="","",Artefatos!$L$40*(1+TaxaCompra))</f>
        <v/>
      </c>
      <c r="S418">
        <f>IF(Artefatos!$M$40="","",Artefatos!$M$40)</f>
        <v/>
      </c>
      <c r="T418" s="25">
        <f>G418*Refino!$D$19+Artefatos!$F$40</f>
        <v/>
      </c>
      <c r="U418" s="25">
        <f>T418*0.1125*FeeCraft/100</f>
        <v/>
      </c>
      <c r="V418" s="23">
        <f>IF(OR(Q418="",R418=""),"",Q418+R418+U418)</f>
        <v/>
      </c>
      <c r="W418" s="23">
        <f>IF(O418="","",O418*(1-TaxaVenda))</f>
        <v/>
      </c>
      <c r="X418" s="26">
        <f>IF(OR(V418="",W418=""),"",W418-V418)</f>
        <v/>
      </c>
      <c r="Y418" s="27">
        <f>IF(X418="","",X418/V418)</f>
        <v/>
      </c>
    </row>
    <row r="419">
      <c r="A419" t="inlineStr">
        <is>
          <t>Juiz (Judicator)|Elmo|T7.0</t>
        </is>
      </c>
      <c r="B419" t="inlineStr">
        <is>
          <t>Juiz (Judicator)</t>
        </is>
      </c>
      <c r="C419" t="inlineStr">
        <is>
          <t>Elmo</t>
        </is>
      </c>
      <c r="D419" t="inlineStr">
        <is>
          <t>T7.0</t>
        </is>
      </c>
      <c r="E419" t="n">
        <v>7</v>
      </c>
      <c r="F419" t="n">
        <v>0</v>
      </c>
      <c r="G419" t="n">
        <v>8</v>
      </c>
      <c r="H419" s="22" t="n"/>
      <c r="I419" s="22" t="n"/>
      <c r="J419" s="22" t="n"/>
      <c r="K419" s="22" t="n"/>
      <c r="L419" s="22" t="n"/>
      <c r="M419" s="22" t="n"/>
      <c r="N419" s="22" t="n"/>
      <c r="O419" s="23">
        <f>IF(COUNT(H419:N419)=0,"",MAX(H419:N419))</f>
        <v/>
      </c>
      <c r="P419" s="24">
        <f>IF(O419="","",INDEX($H$3:$N$3,MATCH(O419,H419:N419,0)))</f>
        <v/>
      </c>
      <c r="Q419" s="23">
        <f>IF(Refino!$L$20="","",G419*Refino!$L$20*(1-RetCraft))</f>
        <v/>
      </c>
      <c r="R419" s="25">
        <f>IF(Artefatos!$L$41="","",Artefatos!$L$41*(1+TaxaCompra))</f>
        <v/>
      </c>
      <c r="S419">
        <f>IF(Artefatos!$M$41="","",Artefatos!$M$41)</f>
        <v/>
      </c>
      <c r="T419" s="25">
        <f>G419*Refino!$D$20+Artefatos!$F$41</f>
        <v/>
      </c>
      <c r="U419" s="25">
        <f>T419*0.1125*FeeCraft/100</f>
        <v/>
      </c>
      <c r="V419" s="23">
        <f>IF(OR(Q419="",R419=""),"",Q419+R419+U419)</f>
        <v/>
      </c>
      <c r="W419" s="23">
        <f>IF(O419="","",O419*(1-TaxaVenda))</f>
        <v/>
      </c>
      <c r="X419" s="26">
        <f>IF(OR(V419="",W419=""),"",W419-V419)</f>
        <v/>
      </c>
      <c r="Y419" s="27">
        <f>IF(X419="","",X419/V419)</f>
        <v/>
      </c>
    </row>
    <row r="420">
      <c r="A420" t="inlineStr">
        <is>
          <t>Juiz (Judicator)|Elmo|T7.1</t>
        </is>
      </c>
      <c r="B420" t="inlineStr">
        <is>
          <t>Juiz (Judicator)</t>
        </is>
      </c>
      <c r="C420" t="inlineStr">
        <is>
          <t>Elmo</t>
        </is>
      </c>
      <c r="D420" t="inlineStr">
        <is>
          <t>T7.1</t>
        </is>
      </c>
      <c r="E420" t="n">
        <v>7</v>
      </c>
      <c r="F420" t="n">
        <v>1</v>
      </c>
      <c r="G420" t="n">
        <v>8</v>
      </c>
      <c r="H420" s="22" t="n"/>
      <c r="I420" s="22" t="n"/>
      <c r="J420" s="22" t="n"/>
      <c r="K420" s="22" t="n"/>
      <c r="L420" s="22" t="n"/>
      <c r="M420" s="22" t="n"/>
      <c r="N420" s="22" t="n"/>
      <c r="O420" s="23">
        <f>IF(COUNT(H420:N420)=0,"",MAX(H420:N420))</f>
        <v/>
      </c>
      <c r="P420" s="24">
        <f>IF(O420="","",INDEX($H$3:$N$3,MATCH(O420,H420:N420,0)))</f>
        <v/>
      </c>
      <c r="Q420" s="23">
        <f>IF(Refino!$L$21="","",G420*Refino!$L$21*(1-RetCraft))</f>
        <v/>
      </c>
      <c r="R420" s="25">
        <f>IF(Artefatos!$L$41="","",Artefatos!$L$41*(1+TaxaCompra))</f>
        <v/>
      </c>
      <c r="S420">
        <f>IF(Artefatos!$M$41="","",Artefatos!$M$41)</f>
        <v/>
      </c>
      <c r="T420" s="25">
        <f>G420*Refino!$D$21+Artefatos!$F$41</f>
        <v/>
      </c>
      <c r="U420" s="25">
        <f>T420*0.1125*FeeCraft/100</f>
        <v/>
      </c>
      <c r="V420" s="23">
        <f>IF(OR(Q420="",R420=""),"",Q420+R420+U420)</f>
        <v/>
      </c>
      <c r="W420" s="23">
        <f>IF(O420="","",O420*(1-TaxaVenda))</f>
        <v/>
      </c>
      <c r="X420" s="26">
        <f>IF(OR(V420="",W420=""),"",W420-V420)</f>
        <v/>
      </c>
      <c r="Y420" s="27">
        <f>IF(X420="","",X420/V420)</f>
        <v/>
      </c>
    </row>
    <row r="421">
      <c r="A421" t="inlineStr">
        <is>
          <t>Juiz (Judicator)|Elmo|T7.2</t>
        </is>
      </c>
      <c r="B421" t="inlineStr">
        <is>
          <t>Juiz (Judicator)</t>
        </is>
      </c>
      <c r="C421" t="inlineStr">
        <is>
          <t>Elmo</t>
        </is>
      </c>
      <c r="D421" t="inlineStr">
        <is>
          <t>T7.2</t>
        </is>
      </c>
      <c r="E421" t="n">
        <v>7</v>
      </c>
      <c r="F421" t="n">
        <v>2</v>
      </c>
      <c r="G421" t="n">
        <v>8</v>
      </c>
      <c r="H421" s="22" t="n"/>
      <c r="I421" s="22" t="n"/>
      <c r="J421" s="22" t="n"/>
      <c r="K421" s="22" t="n"/>
      <c r="L421" s="22" t="n"/>
      <c r="M421" s="22" t="n"/>
      <c r="N421" s="22" t="n"/>
      <c r="O421" s="23">
        <f>IF(COUNT(H421:N421)=0,"",MAX(H421:N421))</f>
        <v/>
      </c>
      <c r="P421" s="24">
        <f>IF(O421="","",INDEX($H$3:$N$3,MATCH(O421,H421:N421,0)))</f>
        <v/>
      </c>
      <c r="Q421" s="23">
        <f>IF(Refino!$L$22="","",G421*Refino!$L$22*(1-RetCraft))</f>
        <v/>
      </c>
      <c r="R421" s="25">
        <f>IF(Artefatos!$L$41="","",Artefatos!$L$41*(1+TaxaCompra))</f>
        <v/>
      </c>
      <c r="S421">
        <f>IF(Artefatos!$M$41="","",Artefatos!$M$41)</f>
        <v/>
      </c>
      <c r="T421" s="25">
        <f>G421*Refino!$D$22+Artefatos!$F$41</f>
        <v/>
      </c>
      <c r="U421" s="25">
        <f>T421*0.1125*FeeCraft/100</f>
        <v/>
      </c>
      <c r="V421" s="23">
        <f>IF(OR(Q421="",R421=""),"",Q421+R421+U421)</f>
        <v/>
      </c>
      <c r="W421" s="23">
        <f>IF(O421="","",O421*(1-TaxaVenda))</f>
        <v/>
      </c>
      <c r="X421" s="26">
        <f>IF(OR(V421="",W421=""),"",W421-V421)</f>
        <v/>
      </c>
      <c r="Y421" s="27">
        <f>IF(X421="","",X421/V421)</f>
        <v/>
      </c>
    </row>
    <row r="422">
      <c r="A422" t="inlineStr">
        <is>
          <t>Juiz (Judicator)|Elmo|T7.3</t>
        </is>
      </c>
      <c r="B422" t="inlineStr">
        <is>
          <t>Juiz (Judicator)</t>
        </is>
      </c>
      <c r="C422" t="inlineStr">
        <is>
          <t>Elmo</t>
        </is>
      </c>
      <c r="D422" t="inlineStr">
        <is>
          <t>T7.3</t>
        </is>
      </c>
      <c r="E422" t="n">
        <v>7</v>
      </c>
      <c r="F422" t="n">
        <v>3</v>
      </c>
      <c r="G422" t="n">
        <v>8</v>
      </c>
      <c r="H422" s="22" t="n"/>
      <c r="I422" s="22" t="n"/>
      <c r="J422" s="22" t="n"/>
      <c r="K422" s="22" t="n"/>
      <c r="L422" s="22" t="n"/>
      <c r="M422" s="22" t="n"/>
      <c r="N422" s="22" t="n"/>
      <c r="O422" s="23">
        <f>IF(COUNT(H422:N422)=0,"",MAX(H422:N422))</f>
        <v/>
      </c>
      <c r="P422" s="24">
        <f>IF(O422="","",INDEX($H$3:$N$3,MATCH(O422,H422:N422,0)))</f>
        <v/>
      </c>
      <c r="Q422" s="23">
        <f>IF(Refino!$L$23="","",G422*Refino!$L$23*(1-RetCraft))</f>
        <v/>
      </c>
      <c r="R422" s="25">
        <f>IF(Artefatos!$L$41="","",Artefatos!$L$41*(1+TaxaCompra))</f>
        <v/>
      </c>
      <c r="S422">
        <f>IF(Artefatos!$M$41="","",Artefatos!$M$41)</f>
        <v/>
      </c>
      <c r="T422" s="25">
        <f>G422*Refino!$D$23+Artefatos!$F$41</f>
        <v/>
      </c>
      <c r="U422" s="25">
        <f>T422*0.1125*FeeCraft/100</f>
        <v/>
      </c>
      <c r="V422" s="23">
        <f>IF(OR(Q422="",R422=""),"",Q422+R422+U422)</f>
        <v/>
      </c>
      <c r="W422" s="23">
        <f>IF(O422="","",O422*(1-TaxaVenda))</f>
        <v/>
      </c>
      <c r="X422" s="26">
        <f>IF(OR(V422="",W422=""),"",W422-V422)</f>
        <v/>
      </c>
      <c r="Y422" s="27">
        <f>IF(X422="","",X422/V422)</f>
        <v/>
      </c>
    </row>
    <row r="423">
      <c r="A423" t="inlineStr">
        <is>
          <t>Juiz (Judicator)|Elmo|T7.4</t>
        </is>
      </c>
      <c r="B423" t="inlineStr">
        <is>
          <t>Juiz (Judicator)</t>
        </is>
      </c>
      <c r="C423" t="inlineStr">
        <is>
          <t>Elmo</t>
        </is>
      </c>
      <c r="D423" t="inlineStr">
        <is>
          <t>T7.4</t>
        </is>
      </c>
      <c r="E423" t="n">
        <v>7</v>
      </c>
      <c r="F423" t="n">
        <v>4</v>
      </c>
      <c r="G423" t="n">
        <v>8</v>
      </c>
      <c r="H423" s="22" t="n"/>
      <c r="I423" s="22" t="n"/>
      <c r="J423" s="22" t="n"/>
      <c r="K423" s="22" t="n"/>
      <c r="L423" s="22" t="n"/>
      <c r="M423" s="22" t="n"/>
      <c r="N423" s="22" t="n"/>
      <c r="O423" s="23">
        <f>IF(COUNT(H423:N423)=0,"",MAX(H423:N423))</f>
        <v/>
      </c>
      <c r="P423" s="24">
        <f>IF(O423="","",INDEX($H$3:$N$3,MATCH(O423,H423:N423,0)))</f>
        <v/>
      </c>
      <c r="Q423" s="23">
        <f>IF(Refino!$L$24="","",G423*Refino!$L$24*(1-RetCraft))</f>
        <v/>
      </c>
      <c r="R423" s="25">
        <f>IF(Artefatos!$L$41="","",Artefatos!$L$41*(1+TaxaCompra))</f>
        <v/>
      </c>
      <c r="S423">
        <f>IF(Artefatos!$M$41="","",Artefatos!$M$41)</f>
        <v/>
      </c>
      <c r="T423" s="25">
        <f>G423*Refino!$D$24+Artefatos!$F$41</f>
        <v/>
      </c>
      <c r="U423" s="25">
        <f>T423*0.1125*FeeCraft/100</f>
        <v/>
      </c>
      <c r="V423" s="23">
        <f>IF(OR(Q423="",R423=""),"",Q423+R423+U423)</f>
        <v/>
      </c>
      <c r="W423" s="23">
        <f>IF(O423="","",O423*(1-TaxaVenda))</f>
        <v/>
      </c>
      <c r="X423" s="26">
        <f>IF(OR(V423="",W423=""),"",W423-V423)</f>
        <v/>
      </c>
      <c r="Y423" s="27">
        <f>IF(X423="","",X423/V423)</f>
        <v/>
      </c>
    </row>
    <row r="424">
      <c r="A424" t="inlineStr">
        <is>
          <t>Juiz (Judicator)|Elmo|T8.0</t>
        </is>
      </c>
      <c r="B424" t="inlineStr">
        <is>
          <t>Juiz (Judicator)</t>
        </is>
      </c>
      <c r="C424" t="inlineStr">
        <is>
          <t>Elmo</t>
        </is>
      </c>
      <c r="D424" t="inlineStr">
        <is>
          <t>T8.0</t>
        </is>
      </c>
      <c r="E424" t="n">
        <v>8</v>
      </c>
      <c r="F424" t="n">
        <v>0</v>
      </c>
      <c r="G424" t="n">
        <v>8</v>
      </c>
      <c r="H424" s="22" t="n"/>
      <c r="I424" s="22" t="n"/>
      <c r="J424" s="22" t="n"/>
      <c r="K424" s="22" t="n"/>
      <c r="L424" s="22" t="n"/>
      <c r="M424" s="22" t="n"/>
      <c r="N424" s="22" t="n"/>
      <c r="O424" s="23">
        <f>IF(COUNT(H424:N424)=0,"",MAX(H424:N424))</f>
        <v/>
      </c>
      <c r="P424" s="24">
        <f>IF(O424="","",INDEX($H$3:$N$3,MATCH(O424,H424:N424,0)))</f>
        <v/>
      </c>
      <c r="Q424" s="23">
        <f>IF(Refino!$L$25="","",G424*Refino!$L$25*(1-RetCraft))</f>
        <v/>
      </c>
      <c r="R424" s="25">
        <f>IF(Artefatos!$L$42="","",Artefatos!$L$42*(1+TaxaCompra))</f>
        <v/>
      </c>
      <c r="S424">
        <f>IF(Artefatos!$M$42="","",Artefatos!$M$42)</f>
        <v/>
      </c>
      <c r="T424" s="25">
        <f>G424*Refino!$D$25+Artefatos!$F$42</f>
        <v/>
      </c>
      <c r="U424" s="25">
        <f>T424*0.1125*FeeCraft/100</f>
        <v/>
      </c>
      <c r="V424" s="23">
        <f>IF(OR(Q424="",R424=""),"",Q424+R424+U424)</f>
        <v/>
      </c>
      <c r="W424" s="23">
        <f>IF(O424="","",O424*(1-TaxaVenda))</f>
        <v/>
      </c>
      <c r="X424" s="26">
        <f>IF(OR(V424="",W424=""),"",W424-V424)</f>
        <v/>
      </c>
      <c r="Y424" s="27">
        <f>IF(X424="","",X424/V424)</f>
        <v/>
      </c>
    </row>
    <row r="425">
      <c r="A425" t="inlineStr">
        <is>
          <t>Juiz (Judicator)|Elmo|T8.1</t>
        </is>
      </c>
      <c r="B425" t="inlineStr">
        <is>
          <t>Juiz (Judicator)</t>
        </is>
      </c>
      <c r="C425" t="inlineStr">
        <is>
          <t>Elmo</t>
        </is>
      </c>
      <c r="D425" t="inlineStr">
        <is>
          <t>T8.1</t>
        </is>
      </c>
      <c r="E425" t="n">
        <v>8</v>
      </c>
      <c r="F425" t="n">
        <v>1</v>
      </c>
      <c r="G425" t="n">
        <v>8</v>
      </c>
      <c r="H425" s="22" t="n"/>
      <c r="I425" s="22" t="n"/>
      <c r="J425" s="22" t="n"/>
      <c r="K425" s="22" t="n"/>
      <c r="L425" s="22" t="n"/>
      <c r="M425" s="22" t="n"/>
      <c r="N425" s="22" t="n"/>
      <c r="O425" s="23">
        <f>IF(COUNT(H425:N425)=0,"",MAX(H425:N425))</f>
        <v/>
      </c>
      <c r="P425" s="24">
        <f>IF(O425="","",INDEX($H$3:$N$3,MATCH(O425,H425:N425,0)))</f>
        <v/>
      </c>
      <c r="Q425" s="23">
        <f>IF(Refino!$L$26="","",G425*Refino!$L$26*(1-RetCraft))</f>
        <v/>
      </c>
      <c r="R425" s="25">
        <f>IF(Artefatos!$L$42="","",Artefatos!$L$42*(1+TaxaCompra))</f>
        <v/>
      </c>
      <c r="S425">
        <f>IF(Artefatos!$M$42="","",Artefatos!$M$42)</f>
        <v/>
      </c>
      <c r="T425" s="25">
        <f>G425*Refino!$D$26+Artefatos!$F$42</f>
        <v/>
      </c>
      <c r="U425" s="25">
        <f>T425*0.1125*FeeCraft/100</f>
        <v/>
      </c>
      <c r="V425" s="23">
        <f>IF(OR(Q425="",R425=""),"",Q425+R425+U425)</f>
        <v/>
      </c>
      <c r="W425" s="23">
        <f>IF(O425="","",O425*(1-TaxaVenda))</f>
        <v/>
      </c>
      <c r="X425" s="26">
        <f>IF(OR(V425="",W425=""),"",W425-V425)</f>
        <v/>
      </c>
      <c r="Y425" s="27">
        <f>IF(X425="","",X425/V425)</f>
        <v/>
      </c>
    </row>
    <row r="426">
      <c r="A426" t="inlineStr">
        <is>
          <t>Juiz (Judicator)|Elmo|T8.2</t>
        </is>
      </c>
      <c r="B426" t="inlineStr">
        <is>
          <t>Juiz (Judicator)</t>
        </is>
      </c>
      <c r="C426" t="inlineStr">
        <is>
          <t>Elmo</t>
        </is>
      </c>
      <c r="D426" t="inlineStr">
        <is>
          <t>T8.2</t>
        </is>
      </c>
      <c r="E426" t="n">
        <v>8</v>
      </c>
      <c r="F426" t="n">
        <v>2</v>
      </c>
      <c r="G426" t="n">
        <v>8</v>
      </c>
      <c r="H426" s="22" t="n"/>
      <c r="I426" s="22" t="n"/>
      <c r="J426" s="22" t="n"/>
      <c r="K426" s="22" t="n"/>
      <c r="L426" s="22" t="n"/>
      <c r="M426" s="22" t="n"/>
      <c r="N426" s="22" t="n"/>
      <c r="O426" s="23">
        <f>IF(COUNT(H426:N426)=0,"",MAX(H426:N426))</f>
        <v/>
      </c>
      <c r="P426" s="24">
        <f>IF(O426="","",INDEX($H$3:$N$3,MATCH(O426,H426:N426,0)))</f>
        <v/>
      </c>
      <c r="Q426" s="23">
        <f>IF(Refino!$L$27="","",G426*Refino!$L$27*(1-RetCraft))</f>
        <v/>
      </c>
      <c r="R426" s="25">
        <f>IF(Artefatos!$L$42="","",Artefatos!$L$42*(1+TaxaCompra))</f>
        <v/>
      </c>
      <c r="S426">
        <f>IF(Artefatos!$M$42="","",Artefatos!$M$42)</f>
        <v/>
      </c>
      <c r="T426" s="25">
        <f>G426*Refino!$D$27+Artefatos!$F$42</f>
        <v/>
      </c>
      <c r="U426" s="25">
        <f>T426*0.1125*FeeCraft/100</f>
        <v/>
      </c>
      <c r="V426" s="23">
        <f>IF(OR(Q426="",R426=""),"",Q426+R426+U426)</f>
        <v/>
      </c>
      <c r="W426" s="23">
        <f>IF(O426="","",O426*(1-TaxaVenda))</f>
        <v/>
      </c>
      <c r="X426" s="26">
        <f>IF(OR(V426="",W426=""),"",W426-V426)</f>
        <v/>
      </c>
      <c r="Y426" s="27">
        <f>IF(X426="","",X426/V426)</f>
        <v/>
      </c>
    </row>
    <row r="427">
      <c r="A427" t="inlineStr">
        <is>
          <t>Juiz (Judicator)|Elmo|T8.3</t>
        </is>
      </c>
      <c r="B427" t="inlineStr">
        <is>
          <t>Juiz (Judicator)</t>
        </is>
      </c>
      <c r="C427" t="inlineStr">
        <is>
          <t>Elmo</t>
        </is>
      </c>
      <c r="D427" t="inlineStr">
        <is>
          <t>T8.3</t>
        </is>
      </c>
      <c r="E427" t="n">
        <v>8</v>
      </c>
      <c r="F427" t="n">
        <v>3</v>
      </c>
      <c r="G427" t="n">
        <v>8</v>
      </c>
      <c r="H427" s="22" t="n"/>
      <c r="I427" s="22" t="n"/>
      <c r="J427" s="22" t="n"/>
      <c r="K427" s="22" t="n"/>
      <c r="L427" s="22" t="n"/>
      <c r="M427" s="22" t="n"/>
      <c r="N427" s="22" t="n"/>
      <c r="O427" s="23">
        <f>IF(COUNT(H427:N427)=0,"",MAX(H427:N427))</f>
        <v/>
      </c>
      <c r="P427" s="24">
        <f>IF(O427="","",INDEX($H$3:$N$3,MATCH(O427,H427:N427,0)))</f>
        <v/>
      </c>
      <c r="Q427" s="23">
        <f>IF(Refino!$L$28="","",G427*Refino!$L$28*(1-RetCraft))</f>
        <v/>
      </c>
      <c r="R427" s="25">
        <f>IF(Artefatos!$L$42="","",Artefatos!$L$42*(1+TaxaCompra))</f>
        <v/>
      </c>
      <c r="S427">
        <f>IF(Artefatos!$M$42="","",Artefatos!$M$42)</f>
        <v/>
      </c>
      <c r="T427" s="25">
        <f>G427*Refino!$D$28+Artefatos!$F$42</f>
        <v/>
      </c>
      <c r="U427" s="25">
        <f>T427*0.1125*FeeCraft/100</f>
        <v/>
      </c>
      <c r="V427" s="23">
        <f>IF(OR(Q427="",R427=""),"",Q427+R427+U427)</f>
        <v/>
      </c>
      <c r="W427" s="23">
        <f>IF(O427="","",O427*(1-TaxaVenda))</f>
        <v/>
      </c>
      <c r="X427" s="26">
        <f>IF(OR(V427="",W427=""),"",W427-V427)</f>
        <v/>
      </c>
      <c r="Y427" s="27">
        <f>IF(X427="","",X427/V427)</f>
        <v/>
      </c>
    </row>
    <row r="428">
      <c r="A428" t="inlineStr">
        <is>
          <t>Juiz (Judicator)|Elmo|T8.4</t>
        </is>
      </c>
      <c r="B428" t="inlineStr">
        <is>
          <t>Juiz (Judicator)</t>
        </is>
      </c>
      <c r="C428" t="inlineStr">
        <is>
          <t>Elmo</t>
        </is>
      </c>
      <c r="D428" t="inlineStr">
        <is>
          <t>T8.4</t>
        </is>
      </c>
      <c r="E428" t="n">
        <v>8</v>
      </c>
      <c r="F428" t="n">
        <v>4</v>
      </c>
      <c r="G428" t="n">
        <v>8</v>
      </c>
      <c r="H428" s="22" t="n"/>
      <c r="I428" s="22" t="n"/>
      <c r="J428" s="22" t="n"/>
      <c r="K428" s="22" t="n"/>
      <c r="L428" s="22" t="n"/>
      <c r="M428" s="22" t="n"/>
      <c r="N428" s="22" t="n"/>
      <c r="O428" s="23">
        <f>IF(COUNT(H428:N428)=0,"",MAX(H428:N428))</f>
        <v/>
      </c>
      <c r="P428" s="24">
        <f>IF(O428="","",INDEX($H$3:$N$3,MATCH(O428,H428:N428,0)))</f>
        <v/>
      </c>
      <c r="Q428" s="23">
        <f>IF(Refino!$L$29="","",G428*Refino!$L$29*(1-RetCraft))</f>
        <v/>
      </c>
      <c r="R428" s="25">
        <f>IF(Artefatos!$L$42="","",Artefatos!$L$42*(1+TaxaCompra))</f>
        <v/>
      </c>
      <c r="S428">
        <f>IF(Artefatos!$M$42="","",Artefatos!$M$42)</f>
        <v/>
      </c>
      <c r="T428" s="25">
        <f>G428*Refino!$D$29+Artefatos!$F$42</f>
        <v/>
      </c>
      <c r="U428" s="25">
        <f>T428*0.1125*FeeCraft/100</f>
        <v/>
      </c>
      <c r="V428" s="23">
        <f>IF(OR(Q428="",R428=""),"",Q428+R428+U428)</f>
        <v/>
      </c>
      <c r="W428" s="23">
        <f>IF(O428="","",O428*(1-TaxaVenda))</f>
        <v/>
      </c>
      <c r="X428" s="26">
        <f>IF(OR(V428="",W428=""),"",W428-V428)</f>
        <v/>
      </c>
      <c r="Y428" s="27">
        <f>IF(X428="","",X428/V428)</f>
        <v/>
      </c>
    </row>
    <row r="429">
      <c r="A429" t="inlineStr">
        <is>
          <t>Juiz (Judicator)|Botas|T4.0</t>
        </is>
      </c>
      <c r="B429" t="inlineStr">
        <is>
          <t>Juiz (Judicator)</t>
        </is>
      </c>
      <c r="C429" t="inlineStr">
        <is>
          <t>Botas</t>
        </is>
      </c>
      <c r="D429" t="inlineStr">
        <is>
          <t>T4.0</t>
        </is>
      </c>
      <c r="E429" t="n">
        <v>4</v>
      </c>
      <c r="F429" t="n">
        <v>0</v>
      </c>
      <c r="G429" t="n">
        <v>8</v>
      </c>
      <c r="H429" s="22" t="n"/>
      <c r="I429" s="22" t="n"/>
      <c r="J429" s="22" t="n"/>
      <c r="K429" s="22" t="n"/>
      <c r="L429" s="22" t="n"/>
      <c r="M429" s="22" t="n"/>
      <c r="N429" s="22" t="n"/>
      <c r="O429" s="23">
        <f>IF(COUNT(H429:N429)=0,"",MAX(H429:N429))</f>
        <v/>
      </c>
      <c r="P429" s="24">
        <f>IF(O429="","",INDEX($H$3:$N$3,MATCH(O429,H429:N429,0)))</f>
        <v/>
      </c>
      <c r="Q429" s="23">
        <f>IF(Refino!$L$5="","",G429*Refino!$L$5*(1-RetCraft))</f>
        <v/>
      </c>
      <c r="R429" s="25">
        <f>IF(Artefatos!$L$43="","",Artefatos!$L$43*(1+TaxaCompra))</f>
        <v/>
      </c>
      <c r="S429">
        <f>IF(Artefatos!$M$43="","",Artefatos!$M$43)</f>
        <v/>
      </c>
      <c r="T429" s="25">
        <f>G429*Refino!$D$5+Artefatos!$F$43</f>
        <v/>
      </c>
      <c r="U429" s="25">
        <f>T429*0.1125*FeeCraft/100</f>
        <v/>
      </c>
      <c r="V429" s="23">
        <f>IF(OR(Q429="",R429=""),"",Q429+R429+U429)</f>
        <v/>
      </c>
      <c r="W429" s="23">
        <f>IF(O429="","",O429*(1-TaxaVenda))</f>
        <v/>
      </c>
      <c r="X429" s="26">
        <f>IF(OR(V429="",W429=""),"",W429-V429)</f>
        <v/>
      </c>
      <c r="Y429" s="27">
        <f>IF(X429="","",X429/V429)</f>
        <v/>
      </c>
    </row>
    <row r="430">
      <c r="A430" t="inlineStr">
        <is>
          <t>Juiz (Judicator)|Botas|T4.1</t>
        </is>
      </c>
      <c r="B430" t="inlineStr">
        <is>
          <t>Juiz (Judicator)</t>
        </is>
      </c>
      <c r="C430" t="inlineStr">
        <is>
          <t>Botas</t>
        </is>
      </c>
      <c r="D430" t="inlineStr">
        <is>
          <t>T4.1</t>
        </is>
      </c>
      <c r="E430" t="n">
        <v>4</v>
      </c>
      <c r="F430" t="n">
        <v>1</v>
      </c>
      <c r="G430" t="n">
        <v>8</v>
      </c>
      <c r="H430" s="22" t="n"/>
      <c r="I430" s="22" t="n"/>
      <c r="J430" s="22" t="n"/>
      <c r="K430" s="22" t="n"/>
      <c r="L430" s="22" t="n"/>
      <c r="M430" s="22" t="n"/>
      <c r="N430" s="22" t="n"/>
      <c r="O430" s="23">
        <f>IF(COUNT(H430:N430)=0,"",MAX(H430:N430))</f>
        <v/>
      </c>
      <c r="P430" s="24">
        <f>IF(O430="","",INDEX($H$3:$N$3,MATCH(O430,H430:N430,0)))</f>
        <v/>
      </c>
      <c r="Q430" s="23">
        <f>IF(Refino!$L$6="","",G430*Refino!$L$6*(1-RetCraft))</f>
        <v/>
      </c>
      <c r="R430" s="25">
        <f>IF(Artefatos!$L$43="","",Artefatos!$L$43*(1+TaxaCompra))</f>
        <v/>
      </c>
      <c r="S430">
        <f>IF(Artefatos!$M$43="","",Artefatos!$M$43)</f>
        <v/>
      </c>
      <c r="T430" s="25">
        <f>G430*Refino!$D$6+Artefatos!$F$43</f>
        <v/>
      </c>
      <c r="U430" s="25">
        <f>T430*0.1125*FeeCraft/100</f>
        <v/>
      </c>
      <c r="V430" s="23">
        <f>IF(OR(Q430="",R430=""),"",Q430+R430+U430)</f>
        <v/>
      </c>
      <c r="W430" s="23">
        <f>IF(O430="","",O430*(1-TaxaVenda))</f>
        <v/>
      </c>
      <c r="X430" s="26">
        <f>IF(OR(V430="",W430=""),"",W430-V430)</f>
        <v/>
      </c>
      <c r="Y430" s="27">
        <f>IF(X430="","",X430/V430)</f>
        <v/>
      </c>
    </row>
    <row r="431">
      <c r="A431" t="inlineStr">
        <is>
          <t>Juiz (Judicator)|Botas|T4.2</t>
        </is>
      </c>
      <c r="B431" t="inlineStr">
        <is>
          <t>Juiz (Judicator)</t>
        </is>
      </c>
      <c r="C431" t="inlineStr">
        <is>
          <t>Botas</t>
        </is>
      </c>
      <c r="D431" t="inlineStr">
        <is>
          <t>T4.2</t>
        </is>
      </c>
      <c r="E431" t="n">
        <v>4</v>
      </c>
      <c r="F431" t="n">
        <v>2</v>
      </c>
      <c r="G431" t="n">
        <v>8</v>
      </c>
      <c r="H431" s="22" t="n"/>
      <c r="I431" s="22" t="n"/>
      <c r="J431" s="22" t="n"/>
      <c r="K431" s="22" t="n"/>
      <c r="L431" s="22" t="n"/>
      <c r="M431" s="22" t="n"/>
      <c r="N431" s="22" t="n"/>
      <c r="O431" s="23">
        <f>IF(COUNT(H431:N431)=0,"",MAX(H431:N431))</f>
        <v/>
      </c>
      <c r="P431" s="24">
        <f>IF(O431="","",INDEX($H$3:$N$3,MATCH(O431,H431:N431,0)))</f>
        <v/>
      </c>
      <c r="Q431" s="23">
        <f>IF(Refino!$L$7="","",G431*Refino!$L$7*(1-RetCraft))</f>
        <v/>
      </c>
      <c r="R431" s="25">
        <f>IF(Artefatos!$L$43="","",Artefatos!$L$43*(1+TaxaCompra))</f>
        <v/>
      </c>
      <c r="S431">
        <f>IF(Artefatos!$M$43="","",Artefatos!$M$43)</f>
        <v/>
      </c>
      <c r="T431" s="25">
        <f>G431*Refino!$D$7+Artefatos!$F$43</f>
        <v/>
      </c>
      <c r="U431" s="25">
        <f>T431*0.1125*FeeCraft/100</f>
        <v/>
      </c>
      <c r="V431" s="23">
        <f>IF(OR(Q431="",R431=""),"",Q431+R431+U431)</f>
        <v/>
      </c>
      <c r="W431" s="23">
        <f>IF(O431="","",O431*(1-TaxaVenda))</f>
        <v/>
      </c>
      <c r="X431" s="26">
        <f>IF(OR(V431="",W431=""),"",W431-V431)</f>
        <v/>
      </c>
      <c r="Y431" s="27">
        <f>IF(X431="","",X431/V431)</f>
        <v/>
      </c>
    </row>
    <row r="432">
      <c r="A432" t="inlineStr">
        <is>
          <t>Juiz (Judicator)|Botas|T4.3</t>
        </is>
      </c>
      <c r="B432" t="inlineStr">
        <is>
          <t>Juiz (Judicator)</t>
        </is>
      </c>
      <c r="C432" t="inlineStr">
        <is>
          <t>Botas</t>
        </is>
      </c>
      <c r="D432" t="inlineStr">
        <is>
          <t>T4.3</t>
        </is>
      </c>
      <c r="E432" t="n">
        <v>4</v>
      </c>
      <c r="F432" t="n">
        <v>3</v>
      </c>
      <c r="G432" t="n">
        <v>8</v>
      </c>
      <c r="H432" s="22" t="n"/>
      <c r="I432" s="22" t="n"/>
      <c r="J432" s="22" t="n"/>
      <c r="K432" s="22" t="n"/>
      <c r="L432" s="22" t="n"/>
      <c r="M432" s="22" t="n"/>
      <c r="N432" s="22" t="n"/>
      <c r="O432" s="23">
        <f>IF(COUNT(H432:N432)=0,"",MAX(H432:N432))</f>
        <v/>
      </c>
      <c r="P432" s="24">
        <f>IF(O432="","",INDEX($H$3:$N$3,MATCH(O432,H432:N432,0)))</f>
        <v/>
      </c>
      <c r="Q432" s="23">
        <f>IF(Refino!$L$8="","",G432*Refino!$L$8*(1-RetCraft))</f>
        <v/>
      </c>
      <c r="R432" s="25">
        <f>IF(Artefatos!$L$43="","",Artefatos!$L$43*(1+TaxaCompra))</f>
        <v/>
      </c>
      <c r="S432">
        <f>IF(Artefatos!$M$43="","",Artefatos!$M$43)</f>
        <v/>
      </c>
      <c r="T432" s="25">
        <f>G432*Refino!$D$8+Artefatos!$F$43</f>
        <v/>
      </c>
      <c r="U432" s="25">
        <f>T432*0.1125*FeeCraft/100</f>
        <v/>
      </c>
      <c r="V432" s="23">
        <f>IF(OR(Q432="",R432=""),"",Q432+R432+U432)</f>
        <v/>
      </c>
      <c r="W432" s="23">
        <f>IF(O432="","",O432*(1-TaxaVenda))</f>
        <v/>
      </c>
      <c r="X432" s="26">
        <f>IF(OR(V432="",W432=""),"",W432-V432)</f>
        <v/>
      </c>
      <c r="Y432" s="27">
        <f>IF(X432="","",X432/V432)</f>
        <v/>
      </c>
    </row>
    <row r="433">
      <c r="A433" t="inlineStr">
        <is>
          <t>Juiz (Judicator)|Botas|T4.4</t>
        </is>
      </c>
      <c r="B433" t="inlineStr">
        <is>
          <t>Juiz (Judicator)</t>
        </is>
      </c>
      <c r="C433" t="inlineStr">
        <is>
          <t>Botas</t>
        </is>
      </c>
      <c r="D433" t="inlineStr">
        <is>
          <t>T4.4</t>
        </is>
      </c>
      <c r="E433" t="n">
        <v>4</v>
      </c>
      <c r="F433" t="n">
        <v>4</v>
      </c>
      <c r="G433" t="n">
        <v>8</v>
      </c>
      <c r="H433" s="22" t="n"/>
      <c r="I433" s="22" t="n"/>
      <c r="J433" s="22" t="n"/>
      <c r="K433" s="22" t="n"/>
      <c r="L433" s="22" t="n"/>
      <c r="M433" s="22" t="n"/>
      <c r="N433" s="22" t="n"/>
      <c r="O433" s="23">
        <f>IF(COUNT(H433:N433)=0,"",MAX(H433:N433))</f>
        <v/>
      </c>
      <c r="P433" s="24">
        <f>IF(O433="","",INDEX($H$3:$N$3,MATCH(O433,H433:N433,0)))</f>
        <v/>
      </c>
      <c r="Q433" s="23">
        <f>IF(Refino!$L$9="","",G433*Refino!$L$9*(1-RetCraft))</f>
        <v/>
      </c>
      <c r="R433" s="25">
        <f>IF(Artefatos!$L$43="","",Artefatos!$L$43*(1+TaxaCompra))</f>
        <v/>
      </c>
      <c r="S433">
        <f>IF(Artefatos!$M$43="","",Artefatos!$M$43)</f>
        <v/>
      </c>
      <c r="T433" s="25">
        <f>G433*Refino!$D$9+Artefatos!$F$43</f>
        <v/>
      </c>
      <c r="U433" s="25">
        <f>T433*0.1125*FeeCraft/100</f>
        <v/>
      </c>
      <c r="V433" s="23">
        <f>IF(OR(Q433="",R433=""),"",Q433+R433+U433)</f>
        <v/>
      </c>
      <c r="W433" s="23">
        <f>IF(O433="","",O433*(1-TaxaVenda))</f>
        <v/>
      </c>
      <c r="X433" s="26">
        <f>IF(OR(V433="",W433=""),"",W433-V433)</f>
        <v/>
      </c>
      <c r="Y433" s="27">
        <f>IF(X433="","",X433/V433)</f>
        <v/>
      </c>
    </row>
    <row r="434">
      <c r="A434" t="inlineStr">
        <is>
          <t>Juiz (Judicator)|Botas|T5.0</t>
        </is>
      </c>
      <c r="B434" t="inlineStr">
        <is>
          <t>Juiz (Judicator)</t>
        </is>
      </c>
      <c r="C434" t="inlineStr">
        <is>
          <t>Botas</t>
        </is>
      </c>
      <c r="D434" t="inlineStr">
        <is>
          <t>T5.0</t>
        </is>
      </c>
      <c r="E434" t="n">
        <v>5</v>
      </c>
      <c r="F434" t="n">
        <v>0</v>
      </c>
      <c r="G434" t="n">
        <v>8</v>
      </c>
      <c r="H434" s="22" t="n"/>
      <c r="I434" s="22" t="n"/>
      <c r="J434" s="22" t="n"/>
      <c r="K434" s="22" t="n"/>
      <c r="L434" s="22" t="n"/>
      <c r="M434" s="22" t="n"/>
      <c r="N434" s="22" t="n"/>
      <c r="O434" s="23">
        <f>IF(COUNT(H434:N434)=0,"",MAX(H434:N434))</f>
        <v/>
      </c>
      <c r="P434" s="24">
        <f>IF(O434="","",INDEX($H$3:$N$3,MATCH(O434,H434:N434,0)))</f>
        <v/>
      </c>
      <c r="Q434" s="23">
        <f>IF(Refino!$L$10="","",G434*Refino!$L$10*(1-RetCraft))</f>
        <v/>
      </c>
      <c r="R434" s="25">
        <f>IF(Artefatos!$L$44="","",Artefatos!$L$44*(1+TaxaCompra))</f>
        <v/>
      </c>
      <c r="S434">
        <f>IF(Artefatos!$M$44="","",Artefatos!$M$44)</f>
        <v/>
      </c>
      <c r="T434" s="25">
        <f>G434*Refino!$D$10+Artefatos!$F$44</f>
        <v/>
      </c>
      <c r="U434" s="25">
        <f>T434*0.1125*FeeCraft/100</f>
        <v/>
      </c>
      <c r="V434" s="23">
        <f>IF(OR(Q434="",R434=""),"",Q434+R434+U434)</f>
        <v/>
      </c>
      <c r="W434" s="23">
        <f>IF(O434="","",O434*(1-TaxaVenda))</f>
        <v/>
      </c>
      <c r="X434" s="26">
        <f>IF(OR(V434="",W434=""),"",W434-V434)</f>
        <v/>
      </c>
      <c r="Y434" s="27">
        <f>IF(X434="","",X434/V434)</f>
        <v/>
      </c>
    </row>
    <row r="435">
      <c r="A435" t="inlineStr">
        <is>
          <t>Juiz (Judicator)|Botas|T5.1</t>
        </is>
      </c>
      <c r="B435" t="inlineStr">
        <is>
          <t>Juiz (Judicator)</t>
        </is>
      </c>
      <c r="C435" t="inlineStr">
        <is>
          <t>Botas</t>
        </is>
      </c>
      <c r="D435" t="inlineStr">
        <is>
          <t>T5.1</t>
        </is>
      </c>
      <c r="E435" t="n">
        <v>5</v>
      </c>
      <c r="F435" t="n">
        <v>1</v>
      </c>
      <c r="G435" t="n">
        <v>8</v>
      </c>
      <c r="H435" s="22" t="n"/>
      <c r="I435" s="22" t="n"/>
      <c r="J435" s="22" t="n"/>
      <c r="K435" s="22" t="n"/>
      <c r="L435" s="22" t="n"/>
      <c r="M435" s="22" t="n"/>
      <c r="N435" s="22" t="n"/>
      <c r="O435" s="23">
        <f>IF(COUNT(H435:N435)=0,"",MAX(H435:N435))</f>
        <v/>
      </c>
      <c r="P435" s="24">
        <f>IF(O435="","",INDEX($H$3:$N$3,MATCH(O435,H435:N435,0)))</f>
        <v/>
      </c>
      <c r="Q435" s="23">
        <f>IF(Refino!$L$11="","",G435*Refino!$L$11*(1-RetCraft))</f>
        <v/>
      </c>
      <c r="R435" s="25">
        <f>IF(Artefatos!$L$44="","",Artefatos!$L$44*(1+TaxaCompra))</f>
        <v/>
      </c>
      <c r="S435">
        <f>IF(Artefatos!$M$44="","",Artefatos!$M$44)</f>
        <v/>
      </c>
      <c r="T435" s="25">
        <f>G435*Refino!$D$11+Artefatos!$F$44</f>
        <v/>
      </c>
      <c r="U435" s="25">
        <f>T435*0.1125*FeeCraft/100</f>
        <v/>
      </c>
      <c r="V435" s="23">
        <f>IF(OR(Q435="",R435=""),"",Q435+R435+U435)</f>
        <v/>
      </c>
      <c r="W435" s="23">
        <f>IF(O435="","",O435*(1-TaxaVenda))</f>
        <v/>
      </c>
      <c r="X435" s="26">
        <f>IF(OR(V435="",W435=""),"",W435-V435)</f>
        <v/>
      </c>
      <c r="Y435" s="27">
        <f>IF(X435="","",X435/V435)</f>
        <v/>
      </c>
    </row>
    <row r="436">
      <c r="A436" t="inlineStr">
        <is>
          <t>Juiz (Judicator)|Botas|T5.2</t>
        </is>
      </c>
      <c r="B436" t="inlineStr">
        <is>
          <t>Juiz (Judicator)</t>
        </is>
      </c>
      <c r="C436" t="inlineStr">
        <is>
          <t>Botas</t>
        </is>
      </c>
      <c r="D436" t="inlineStr">
        <is>
          <t>T5.2</t>
        </is>
      </c>
      <c r="E436" t="n">
        <v>5</v>
      </c>
      <c r="F436" t="n">
        <v>2</v>
      </c>
      <c r="G436" t="n">
        <v>8</v>
      </c>
      <c r="H436" s="22" t="n"/>
      <c r="I436" s="22" t="n"/>
      <c r="J436" s="22" t="n"/>
      <c r="K436" s="22" t="n"/>
      <c r="L436" s="22" t="n"/>
      <c r="M436" s="22" t="n"/>
      <c r="N436" s="22" t="n"/>
      <c r="O436" s="23">
        <f>IF(COUNT(H436:N436)=0,"",MAX(H436:N436))</f>
        <v/>
      </c>
      <c r="P436" s="24">
        <f>IF(O436="","",INDEX($H$3:$N$3,MATCH(O436,H436:N436,0)))</f>
        <v/>
      </c>
      <c r="Q436" s="23">
        <f>IF(Refino!$L$12="","",G436*Refino!$L$12*(1-RetCraft))</f>
        <v/>
      </c>
      <c r="R436" s="25">
        <f>IF(Artefatos!$L$44="","",Artefatos!$L$44*(1+TaxaCompra))</f>
        <v/>
      </c>
      <c r="S436">
        <f>IF(Artefatos!$M$44="","",Artefatos!$M$44)</f>
        <v/>
      </c>
      <c r="T436" s="25">
        <f>G436*Refino!$D$12+Artefatos!$F$44</f>
        <v/>
      </c>
      <c r="U436" s="25">
        <f>T436*0.1125*FeeCraft/100</f>
        <v/>
      </c>
      <c r="V436" s="23">
        <f>IF(OR(Q436="",R436=""),"",Q436+R436+U436)</f>
        <v/>
      </c>
      <c r="W436" s="23">
        <f>IF(O436="","",O436*(1-TaxaVenda))</f>
        <v/>
      </c>
      <c r="X436" s="26">
        <f>IF(OR(V436="",W436=""),"",W436-V436)</f>
        <v/>
      </c>
      <c r="Y436" s="27">
        <f>IF(X436="","",X436/V436)</f>
        <v/>
      </c>
    </row>
    <row r="437">
      <c r="A437" t="inlineStr">
        <is>
          <t>Juiz (Judicator)|Botas|T5.3</t>
        </is>
      </c>
      <c r="B437" t="inlineStr">
        <is>
          <t>Juiz (Judicator)</t>
        </is>
      </c>
      <c r="C437" t="inlineStr">
        <is>
          <t>Botas</t>
        </is>
      </c>
      <c r="D437" t="inlineStr">
        <is>
          <t>T5.3</t>
        </is>
      </c>
      <c r="E437" t="n">
        <v>5</v>
      </c>
      <c r="F437" t="n">
        <v>3</v>
      </c>
      <c r="G437" t="n">
        <v>8</v>
      </c>
      <c r="H437" s="22" t="n"/>
      <c r="I437" s="22" t="n"/>
      <c r="J437" s="22" t="n"/>
      <c r="K437" s="22" t="n"/>
      <c r="L437" s="22" t="n"/>
      <c r="M437" s="22" t="n"/>
      <c r="N437" s="22" t="n"/>
      <c r="O437" s="23">
        <f>IF(COUNT(H437:N437)=0,"",MAX(H437:N437))</f>
        <v/>
      </c>
      <c r="P437" s="24">
        <f>IF(O437="","",INDEX($H$3:$N$3,MATCH(O437,H437:N437,0)))</f>
        <v/>
      </c>
      <c r="Q437" s="23">
        <f>IF(Refino!$L$13="","",G437*Refino!$L$13*(1-RetCraft))</f>
        <v/>
      </c>
      <c r="R437" s="25">
        <f>IF(Artefatos!$L$44="","",Artefatos!$L$44*(1+TaxaCompra))</f>
        <v/>
      </c>
      <c r="S437">
        <f>IF(Artefatos!$M$44="","",Artefatos!$M$44)</f>
        <v/>
      </c>
      <c r="T437" s="25">
        <f>G437*Refino!$D$13+Artefatos!$F$44</f>
        <v/>
      </c>
      <c r="U437" s="25">
        <f>T437*0.1125*FeeCraft/100</f>
        <v/>
      </c>
      <c r="V437" s="23">
        <f>IF(OR(Q437="",R437=""),"",Q437+R437+U437)</f>
        <v/>
      </c>
      <c r="W437" s="23">
        <f>IF(O437="","",O437*(1-TaxaVenda))</f>
        <v/>
      </c>
      <c r="X437" s="26">
        <f>IF(OR(V437="",W437=""),"",W437-V437)</f>
        <v/>
      </c>
      <c r="Y437" s="27">
        <f>IF(X437="","",X437/V437)</f>
        <v/>
      </c>
    </row>
    <row r="438">
      <c r="A438" t="inlineStr">
        <is>
          <t>Juiz (Judicator)|Botas|T5.4</t>
        </is>
      </c>
      <c r="B438" t="inlineStr">
        <is>
          <t>Juiz (Judicator)</t>
        </is>
      </c>
      <c r="C438" t="inlineStr">
        <is>
          <t>Botas</t>
        </is>
      </c>
      <c r="D438" t="inlineStr">
        <is>
          <t>T5.4</t>
        </is>
      </c>
      <c r="E438" t="n">
        <v>5</v>
      </c>
      <c r="F438" t="n">
        <v>4</v>
      </c>
      <c r="G438" t="n">
        <v>8</v>
      </c>
      <c r="H438" s="22" t="n"/>
      <c r="I438" s="22" t="n"/>
      <c r="J438" s="22" t="n"/>
      <c r="K438" s="22" t="n"/>
      <c r="L438" s="22" t="n"/>
      <c r="M438" s="22" t="n"/>
      <c r="N438" s="22" t="n"/>
      <c r="O438" s="23">
        <f>IF(COUNT(H438:N438)=0,"",MAX(H438:N438))</f>
        <v/>
      </c>
      <c r="P438" s="24">
        <f>IF(O438="","",INDEX($H$3:$N$3,MATCH(O438,H438:N438,0)))</f>
        <v/>
      </c>
      <c r="Q438" s="23">
        <f>IF(Refino!$L$14="","",G438*Refino!$L$14*(1-RetCraft))</f>
        <v/>
      </c>
      <c r="R438" s="25">
        <f>IF(Artefatos!$L$44="","",Artefatos!$L$44*(1+TaxaCompra))</f>
        <v/>
      </c>
      <c r="S438">
        <f>IF(Artefatos!$M$44="","",Artefatos!$M$44)</f>
        <v/>
      </c>
      <c r="T438" s="25">
        <f>G438*Refino!$D$14+Artefatos!$F$44</f>
        <v/>
      </c>
      <c r="U438" s="25">
        <f>T438*0.1125*FeeCraft/100</f>
        <v/>
      </c>
      <c r="V438" s="23">
        <f>IF(OR(Q438="",R438=""),"",Q438+R438+U438)</f>
        <v/>
      </c>
      <c r="W438" s="23">
        <f>IF(O438="","",O438*(1-TaxaVenda))</f>
        <v/>
      </c>
      <c r="X438" s="26">
        <f>IF(OR(V438="",W438=""),"",W438-V438)</f>
        <v/>
      </c>
      <c r="Y438" s="27">
        <f>IF(X438="","",X438/V438)</f>
        <v/>
      </c>
    </row>
    <row r="439">
      <c r="A439" t="inlineStr">
        <is>
          <t>Juiz (Judicator)|Botas|T6.0</t>
        </is>
      </c>
      <c r="B439" t="inlineStr">
        <is>
          <t>Juiz (Judicator)</t>
        </is>
      </c>
      <c r="C439" t="inlineStr">
        <is>
          <t>Botas</t>
        </is>
      </c>
      <c r="D439" t="inlineStr">
        <is>
          <t>T6.0</t>
        </is>
      </c>
      <c r="E439" t="n">
        <v>6</v>
      </c>
      <c r="F439" t="n">
        <v>0</v>
      </c>
      <c r="G439" t="n">
        <v>8</v>
      </c>
      <c r="H439" s="22" t="n"/>
      <c r="I439" s="22" t="n"/>
      <c r="J439" s="22" t="n"/>
      <c r="K439" s="22" t="n"/>
      <c r="L439" s="22" t="n"/>
      <c r="M439" s="22" t="n"/>
      <c r="N439" s="22" t="n"/>
      <c r="O439" s="23">
        <f>IF(COUNT(H439:N439)=0,"",MAX(H439:N439))</f>
        <v/>
      </c>
      <c r="P439" s="24">
        <f>IF(O439="","",INDEX($H$3:$N$3,MATCH(O439,H439:N439,0)))</f>
        <v/>
      </c>
      <c r="Q439" s="23">
        <f>IF(Refino!$L$15="","",G439*Refino!$L$15*(1-RetCraft))</f>
        <v/>
      </c>
      <c r="R439" s="25">
        <f>IF(Artefatos!$L$45="","",Artefatos!$L$45*(1+TaxaCompra))</f>
        <v/>
      </c>
      <c r="S439">
        <f>IF(Artefatos!$M$45="","",Artefatos!$M$45)</f>
        <v/>
      </c>
      <c r="T439" s="25">
        <f>G439*Refino!$D$15+Artefatos!$F$45</f>
        <v/>
      </c>
      <c r="U439" s="25">
        <f>T439*0.1125*FeeCraft/100</f>
        <v/>
      </c>
      <c r="V439" s="23">
        <f>IF(OR(Q439="",R439=""),"",Q439+R439+U439)</f>
        <v/>
      </c>
      <c r="W439" s="23">
        <f>IF(O439="","",O439*(1-TaxaVenda))</f>
        <v/>
      </c>
      <c r="X439" s="26">
        <f>IF(OR(V439="",W439=""),"",W439-V439)</f>
        <v/>
      </c>
      <c r="Y439" s="27">
        <f>IF(X439="","",X439/V439)</f>
        <v/>
      </c>
    </row>
    <row r="440">
      <c r="A440" t="inlineStr">
        <is>
          <t>Juiz (Judicator)|Botas|T6.1</t>
        </is>
      </c>
      <c r="B440" t="inlineStr">
        <is>
          <t>Juiz (Judicator)</t>
        </is>
      </c>
      <c r="C440" t="inlineStr">
        <is>
          <t>Botas</t>
        </is>
      </c>
      <c r="D440" t="inlineStr">
        <is>
          <t>T6.1</t>
        </is>
      </c>
      <c r="E440" t="n">
        <v>6</v>
      </c>
      <c r="F440" t="n">
        <v>1</v>
      </c>
      <c r="G440" t="n">
        <v>8</v>
      </c>
      <c r="H440" s="22" t="n"/>
      <c r="I440" s="22" t="n"/>
      <c r="J440" s="22" t="n"/>
      <c r="K440" s="22" t="n"/>
      <c r="L440" s="22" t="n"/>
      <c r="M440" s="22" t="n"/>
      <c r="N440" s="22" t="n"/>
      <c r="O440" s="23">
        <f>IF(COUNT(H440:N440)=0,"",MAX(H440:N440))</f>
        <v/>
      </c>
      <c r="P440" s="24">
        <f>IF(O440="","",INDEX($H$3:$N$3,MATCH(O440,H440:N440,0)))</f>
        <v/>
      </c>
      <c r="Q440" s="23">
        <f>IF(Refino!$L$16="","",G440*Refino!$L$16*(1-RetCraft))</f>
        <v/>
      </c>
      <c r="R440" s="25">
        <f>IF(Artefatos!$L$45="","",Artefatos!$L$45*(1+TaxaCompra))</f>
        <v/>
      </c>
      <c r="S440">
        <f>IF(Artefatos!$M$45="","",Artefatos!$M$45)</f>
        <v/>
      </c>
      <c r="T440" s="25">
        <f>G440*Refino!$D$16+Artefatos!$F$45</f>
        <v/>
      </c>
      <c r="U440" s="25">
        <f>T440*0.1125*FeeCraft/100</f>
        <v/>
      </c>
      <c r="V440" s="23">
        <f>IF(OR(Q440="",R440=""),"",Q440+R440+U440)</f>
        <v/>
      </c>
      <c r="W440" s="23">
        <f>IF(O440="","",O440*(1-TaxaVenda))</f>
        <v/>
      </c>
      <c r="X440" s="26">
        <f>IF(OR(V440="",W440=""),"",W440-V440)</f>
        <v/>
      </c>
      <c r="Y440" s="27">
        <f>IF(X440="","",X440/V440)</f>
        <v/>
      </c>
    </row>
    <row r="441">
      <c r="A441" t="inlineStr">
        <is>
          <t>Juiz (Judicator)|Botas|T6.2</t>
        </is>
      </c>
      <c r="B441" t="inlineStr">
        <is>
          <t>Juiz (Judicator)</t>
        </is>
      </c>
      <c r="C441" t="inlineStr">
        <is>
          <t>Botas</t>
        </is>
      </c>
      <c r="D441" t="inlineStr">
        <is>
          <t>T6.2</t>
        </is>
      </c>
      <c r="E441" t="n">
        <v>6</v>
      </c>
      <c r="F441" t="n">
        <v>2</v>
      </c>
      <c r="G441" t="n">
        <v>8</v>
      </c>
      <c r="H441" s="22" t="n"/>
      <c r="I441" s="22" t="n"/>
      <c r="J441" s="22" t="n"/>
      <c r="K441" s="22" t="n"/>
      <c r="L441" s="22" t="n"/>
      <c r="M441" s="22" t="n"/>
      <c r="N441" s="22" t="n"/>
      <c r="O441" s="23">
        <f>IF(COUNT(H441:N441)=0,"",MAX(H441:N441))</f>
        <v/>
      </c>
      <c r="P441" s="24">
        <f>IF(O441="","",INDEX($H$3:$N$3,MATCH(O441,H441:N441,0)))</f>
        <v/>
      </c>
      <c r="Q441" s="23">
        <f>IF(Refino!$L$17="","",G441*Refino!$L$17*(1-RetCraft))</f>
        <v/>
      </c>
      <c r="R441" s="25">
        <f>IF(Artefatos!$L$45="","",Artefatos!$L$45*(1+TaxaCompra))</f>
        <v/>
      </c>
      <c r="S441">
        <f>IF(Artefatos!$M$45="","",Artefatos!$M$45)</f>
        <v/>
      </c>
      <c r="T441" s="25">
        <f>G441*Refino!$D$17+Artefatos!$F$45</f>
        <v/>
      </c>
      <c r="U441" s="25">
        <f>T441*0.1125*FeeCraft/100</f>
        <v/>
      </c>
      <c r="V441" s="23">
        <f>IF(OR(Q441="",R441=""),"",Q441+R441+U441)</f>
        <v/>
      </c>
      <c r="W441" s="23">
        <f>IF(O441="","",O441*(1-TaxaVenda))</f>
        <v/>
      </c>
      <c r="X441" s="26">
        <f>IF(OR(V441="",W441=""),"",W441-V441)</f>
        <v/>
      </c>
      <c r="Y441" s="27">
        <f>IF(X441="","",X441/V441)</f>
        <v/>
      </c>
    </row>
    <row r="442">
      <c r="A442" t="inlineStr">
        <is>
          <t>Juiz (Judicator)|Botas|T6.3</t>
        </is>
      </c>
      <c r="B442" t="inlineStr">
        <is>
          <t>Juiz (Judicator)</t>
        </is>
      </c>
      <c r="C442" t="inlineStr">
        <is>
          <t>Botas</t>
        </is>
      </c>
      <c r="D442" t="inlineStr">
        <is>
          <t>T6.3</t>
        </is>
      </c>
      <c r="E442" t="n">
        <v>6</v>
      </c>
      <c r="F442" t="n">
        <v>3</v>
      </c>
      <c r="G442" t="n">
        <v>8</v>
      </c>
      <c r="H442" s="22" t="n"/>
      <c r="I442" s="22" t="n"/>
      <c r="J442" s="22" t="n"/>
      <c r="K442" s="22" t="n"/>
      <c r="L442" s="22" t="n"/>
      <c r="M442" s="22" t="n"/>
      <c r="N442" s="22" t="n"/>
      <c r="O442" s="23">
        <f>IF(COUNT(H442:N442)=0,"",MAX(H442:N442))</f>
        <v/>
      </c>
      <c r="P442" s="24">
        <f>IF(O442="","",INDEX($H$3:$N$3,MATCH(O442,H442:N442,0)))</f>
        <v/>
      </c>
      <c r="Q442" s="23">
        <f>IF(Refino!$L$18="","",G442*Refino!$L$18*(1-RetCraft))</f>
        <v/>
      </c>
      <c r="R442" s="25">
        <f>IF(Artefatos!$L$45="","",Artefatos!$L$45*(1+TaxaCompra))</f>
        <v/>
      </c>
      <c r="S442">
        <f>IF(Artefatos!$M$45="","",Artefatos!$M$45)</f>
        <v/>
      </c>
      <c r="T442" s="25">
        <f>G442*Refino!$D$18+Artefatos!$F$45</f>
        <v/>
      </c>
      <c r="U442" s="25">
        <f>T442*0.1125*FeeCraft/100</f>
        <v/>
      </c>
      <c r="V442" s="23">
        <f>IF(OR(Q442="",R442=""),"",Q442+R442+U442)</f>
        <v/>
      </c>
      <c r="W442" s="23">
        <f>IF(O442="","",O442*(1-TaxaVenda))</f>
        <v/>
      </c>
      <c r="X442" s="26">
        <f>IF(OR(V442="",W442=""),"",W442-V442)</f>
        <v/>
      </c>
      <c r="Y442" s="27">
        <f>IF(X442="","",X442/V442)</f>
        <v/>
      </c>
    </row>
    <row r="443">
      <c r="A443" t="inlineStr">
        <is>
          <t>Juiz (Judicator)|Botas|T6.4</t>
        </is>
      </c>
      <c r="B443" t="inlineStr">
        <is>
          <t>Juiz (Judicator)</t>
        </is>
      </c>
      <c r="C443" t="inlineStr">
        <is>
          <t>Botas</t>
        </is>
      </c>
      <c r="D443" t="inlineStr">
        <is>
          <t>T6.4</t>
        </is>
      </c>
      <c r="E443" t="n">
        <v>6</v>
      </c>
      <c r="F443" t="n">
        <v>4</v>
      </c>
      <c r="G443" t="n">
        <v>8</v>
      </c>
      <c r="H443" s="22" t="n"/>
      <c r="I443" s="22" t="n"/>
      <c r="J443" s="22" t="n"/>
      <c r="K443" s="22" t="n"/>
      <c r="L443" s="22" t="n"/>
      <c r="M443" s="22" t="n"/>
      <c r="N443" s="22" t="n"/>
      <c r="O443" s="23">
        <f>IF(COUNT(H443:N443)=0,"",MAX(H443:N443))</f>
        <v/>
      </c>
      <c r="P443" s="24">
        <f>IF(O443="","",INDEX($H$3:$N$3,MATCH(O443,H443:N443,0)))</f>
        <v/>
      </c>
      <c r="Q443" s="23">
        <f>IF(Refino!$L$19="","",G443*Refino!$L$19*(1-RetCraft))</f>
        <v/>
      </c>
      <c r="R443" s="25">
        <f>IF(Artefatos!$L$45="","",Artefatos!$L$45*(1+TaxaCompra))</f>
        <v/>
      </c>
      <c r="S443">
        <f>IF(Artefatos!$M$45="","",Artefatos!$M$45)</f>
        <v/>
      </c>
      <c r="T443" s="25">
        <f>G443*Refino!$D$19+Artefatos!$F$45</f>
        <v/>
      </c>
      <c r="U443" s="25">
        <f>T443*0.1125*FeeCraft/100</f>
        <v/>
      </c>
      <c r="V443" s="23">
        <f>IF(OR(Q443="",R443=""),"",Q443+R443+U443)</f>
        <v/>
      </c>
      <c r="W443" s="23">
        <f>IF(O443="","",O443*(1-TaxaVenda))</f>
        <v/>
      </c>
      <c r="X443" s="26">
        <f>IF(OR(V443="",W443=""),"",W443-V443)</f>
        <v/>
      </c>
      <c r="Y443" s="27">
        <f>IF(X443="","",X443/V443)</f>
        <v/>
      </c>
    </row>
    <row r="444">
      <c r="A444" t="inlineStr">
        <is>
          <t>Juiz (Judicator)|Botas|T7.0</t>
        </is>
      </c>
      <c r="B444" t="inlineStr">
        <is>
          <t>Juiz (Judicator)</t>
        </is>
      </c>
      <c r="C444" t="inlineStr">
        <is>
          <t>Botas</t>
        </is>
      </c>
      <c r="D444" t="inlineStr">
        <is>
          <t>T7.0</t>
        </is>
      </c>
      <c r="E444" t="n">
        <v>7</v>
      </c>
      <c r="F444" t="n">
        <v>0</v>
      </c>
      <c r="G444" t="n">
        <v>8</v>
      </c>
      <c r="H444" s="22" t="n"/>
      <c r="I444" s="22" t="n"/>
      <c r="J444" s="22" t="n"/>
      <c r="K444" s="22" t="n"/>
      <c r="L444" s="22" t="n"/>
      <c r="M444" s="22" t="n"/>
      <c r="N444" s="22" t="n"/>
      <c r="O444" s="23">
        <f>IF(COUNT(H444:N444)=0,"",MAX(H444:N444))</f>
        <v/>
      </c>
      <c r="P444" s="24">
        <f>IF(O444="","",INDEX($H$3:$N$3,MATCH(O444,H444:N444,0)))</f>
        <v/>
      </c>
      <c r="Q444" s="23">
        <f>IF(Refino!$L$20="","",G444*Refino!$L$20*(1-RetCraft))</f>
        <v/>
      </c>
      <c r="R444" s="25">
        <f>IF(Artefatos!$L$46="","",Artefatos!$L$46*(1+TaxaCompra))</f>
        <v/>
      </c>
      <c r="S444">
        <f>IF(Artefatos!$M$46="","",Artefatos!$M$46)</f>
        <v/>
      </c>
      <c r="T444" s="25">
        <f>G444*Refino!$D$20+Artefatos!$F$46</f>
        <v/>
      </c>
      <c r="U444" s="25">
        <f>T444*0.1125*FeeCraft/100</f>
        <v/>
      </c>
      <c r="V444" s="23">
        <f>IF(OR(Q444="",R444=""),"",Q444+R444+U444)</f>
        <v/>
      </c>
      <c r="W444" s="23">
        <f>IF(O444="","",O444*(1-TaxaVenda))</f>
        <v/>
      </c>
      <c r="X444" s="26">
        <f>IF(OR(V444="",W444=""),"",W444-V444)</f>
        <v/>
      </c>
      <c r="Y444" s="27">
        <f>IF(X444="","",X444/V444)</f>
        <v/>
      </c>
    </row>
    <row r="445">
      <c r="A445" t="inlineStr">
        <is>
          <t>Juiz (Judicator)|Botas|T7.1</t>
        </is>
      </c>
      <c r="B445" t="inlineStr">
        <is>
          <t>Juiz (Judicator)</t>
        </is>
      </c>
      <c r="C445" t="inlineStr">
        <is>
          <t>Botas</t>
        </is>
      </c>
      <c r="D445" t="inlineStr">
        <is>
          <t>T7.1</t>
        </is>
      </c>
      <c r="E445" t="n">
        <v>7</v>
      </c>
      <c r="F445" t="n">
        <v>1</v>
      </c>
      <c r="G445" t="n">
        <v>8</v>
      </c>
      <c r="H445" s="22" t="n"/>
      <c r="I445" s="22" t="n"/>
      <c r="J445" s="22" t="n"/>
      <c r="K445" s="22" t="n"/>
      <c r="L445" s="22" t="n"/>
      <c r="M445" s="22" t="n"/>
      <c r="N445" s="22" t="n"/>
      <c r="O445" s="23">
        <f>IF(COUNT(H445:N445)=0,"",MAX(H445:N445))</f>
        <v/>
      </c>
      <c r="P445" s="24">
        <f>IF(O445="","",INDEX($H$3:$N$3,MATCH(O445,H445:N445,0)))</f>
        <v/>
      </c>
      <c r="Q445" s="23">
        <f>IF(Refino!$L$21="","",G445*Refino!$L$21*(1-RetCraft))</f>
        <v/>
      </c>
      <c r="R445" s="25">
        <f>IF(Artefatos!$L$46="","",Artefatos!$L$46*(1+TaxaCompra))</f>
        <v/>
      </c>
      <c r="S445">
        <f>IF(Artefatos!$M$46="","",Artefatos!$M$46)</f>
        <v/>
      </c>
      <c r="T445" s="25">
        <f>G445*Refino!$D$21+Artefatos!$F$46</f>
        <v/>
      </c>
      <c r="U445" s="25">
        <f>T445*0.1125*FeeCraft/100</f>
        <v/>
      </c>
      <c r="V445" s="23">
        <f>IF(OR(Q445="",R445=""),"",Q445+R445+U445)</f>
        <v/>
      </c>
      <c r="W445" s="23">
        <f>IF(O445="","",O445*(1-TaxaVenda))</f>
        <v/>
      </c>
      <c r="X445" s="26">
        <f>IF(OR(V445="",W445=""),"",W445-V445)</f>
        <v/>
      </c>
      <c r="Y445" s="27">
        <f>IF(X445="","",X445/V445)</f>
        <v/>
      </c>
    </row>
    <row r="446">
      <c r="A446" t="inlineStr">
        <is>
          <t>Juiz (Judicator)|Botas|T7.2</t>
        </is>
      </c>
      <c r="B446" t="inlineStr">
        <is>
          <t>Juiz (Judicator)</t>
        </is>
      </c>
      <c r="C446" t="inlineStr">
        <is>
          <t>Botas</t>
        </is>
      </c>
      <c r="D446" t="inlineStr">
        <is>
          <t>T7.2</t>
        </is>
      </c>
      <c r="E446" t="n">
        <v>7</v>
      </c>
      <c r="F446" t="n">
        <v>2</v>
      </c>
      <c r="G446" t="n">
        <v>8</v>
      </c>
      <c r="H446" s="22" t="n"/>
      <c r="I446" s="22" t="n"/>
      <c r="J446" s="22" t="n"/>
      <c r="K446" s="22" t="n"/>
      <c r="L446" s="22" t="n"/>
      <c r="M446" s="22" t="n"/>
      <c r="N446" s="22" t="n"/>
      <c r="O446" s="23">
        <f>IF(COUNT(H446:N446)=0,"",MAX(H446:N446))</f>
        <v/>
      </c>
      <c r="P446" s="24">
        <f>IF(O446="","",INDEX($H$3:$N$3,MATCH(O446,H446:N446,0)))</f>
        <v/>
      </c>
      <c r="Q446" s="23">
        <f>IF(Refino!$L$22="","",G446*Refino!$L$22*(1-RetCraft))</f>
        <v/>
      </c>
      <c r="R446" s="25">
        <f>IF(Artefatos!$L$46="","",Artefatos!$L$46*(1+TaxaCompra))</f>
        <v/>
      </c>
      <c r="S446">
        <f>IF(Artefatos!$M$46="","",Artefatos!$M$46)</f>
        <v/>
      </c>
      <c r="T446" s="25">
        <f>G446*Refino!$D$22+Artefatos!$F$46</f>
        <v/>
      </c>
      <c r="U446" s="25">
        <f>T446*0.1125*FeeCraft/100</f>
        <v/>
      </c>
      <c r="V446" s="23">
        <f>IF(OR(Q446="",R446=""),"",Q446+R446+U446)</f>
        <v/>
      </c>
      <c r="W446" s="23">
        <f>IF(O446="","",O446*(1-TaxaVenda))</f>
        <v/>
      </c>
      <c r="X446" s="26">
        <f>IF(OR(V446="",W446=""),"",W446-V446)</f>
        <v/>
      </c>
      <c r="Y446" s="27">
        <f>IF(X446="","",X446/V446)</f>
        <v/>
      </c>
    </row>
    <row r="447">
      <c r="A447" t="inlineStr">
        <is>
          <t>Juiz (Judicator)|Botas|T7.3</t>
        </is>
      </c>
      <c r="B447" t="inlineStr">
        <is>
          <t>Juiz (Judicator)</t>
        </is>
      </c>
      <c r="C447" t="inlineStr">
        <is>
          <t>Botas</t>
        </is>
      </c>
      <c r="D447" t="inlineStr">
        <is>
          <t>T7.3</t>
        </is>
      </c>
      <c r="E447" t="n">
        <v>7</v>
      </c>
      <c r="F447" t="n">
        <v>3</v>
      </c>
      <c r="G447" t="n">
        <v>8</v>
      </c>
      <c r="H447" s="22" t="n"/>
      <c r="I447" s="22" t="n"/>
      <c r="J447" s="22" t="n"/>
      <c r="K447" s="22" t="n"/>
      <c r="L447" s="22" t="n"/>
      <c r="M447" s="22" t="n"/>
      <c r="N447" s="22" t="n"/>
      <c r="O447" s="23">
        <f>IF(COUNT(H447:N447)=0,"",MAX(H447:N447))</f>
        <v/>
      </c>
      <c r="P447" s="24">
        <f>IF(O447="","",INDEX($H$3:$N$3,MATCH(O447,H447:N447,0)))</f>
        <v/>
      </c>
      <c r="Q447" s="23">
        <f>IF(Refino!$L$23="","",G447*Refino!$L$23*(1-RetCraft))</f>
        <v/>
      </c>
      <c r="R447" s="25">
        <f>IF(Artefatos!$L$46="","",Artefatos!$L$46*(1+TaxaCompra))</f>
        <v/>
      </c>
      <c r="S447">
        <f>IF(Artefatos!$M$46="","",Artefatos!$M$46)</f>
        <v/>
      </c>
      <c r="T447" s="25">
        <f>G447*Refino!$D$23+Artefatos!$F$46</f>
        <v/>
      </c>
      <c r="U447" s="25">
        <f>T447*0.1125*FeeCraft/100</f>
        <v/>
      </c>
      <c r="V447" s="23">
        <f>IF(OR(Q447="",R447=""),"",Q447+R447+U447)</f>
        <v/>
      </c>
      <c r="W447" s="23">
        <f>IF(O447="","",O447*(1-TaxaVenda))</f>
        <v/>
      </c>
      <c r="X447" s="26">
        <f>IF(OR(V447="",W447=""),"",W447-V447)</f>
        <v/>
      </c>
      <c r="Y447" s="27">
        <f>IF(X447="","",X447/V447)</f>
        <v/>
      </c>
    </row>
    <row r="448">
      <c r="A448" t="inlineStr">
        <is>
          <t>Juiz (Judicator)|Botas|T7.4</t>
        </is>
      </c>
      <c r="B448" t="inlineStr">
        <is>
          <t>Juiz (Judicator)</t>
        </is>
      </c>
      <c r="C448" t="inlineStr">
        <is>
          <t>Botas</t>
        </is>
      </c>
      <c r="D448" t="inlineStr">
        <is>
          <t>T7.4</t>
        </is>
      </c>
      <c r="E448" t="n">
        <v>7</v>
      </c>
      <c r="F448" t="n">
        <v>4</v>
      </c>
      <c r="G448" t="n">
        <v>8</v>
      </c>
      <c r="H448" s="22" t="n"/>
      <c r="I448" s="22" t="n"/>
      <c r="J448" s="22" t="n"/>
      <c r="K448" s="22" t="n"/>
      <c r="L448" s="22" t="n"/>
      <c r="M448" s="22" t="n"/>
      <c r="N448" s="22" t="n"/>
      <c r="O448" s="23">
        <f>IF(COUNT(H448:N448)=0,"",MAX(H448:N448))</f>
        <v/>
      </c>
      <c r="P448" s="24">
        <f>IF(O448="","",INDEX($H$3:$N$3,MATCH(O448,H448:N448,0)))</f>
        <v/>
      </c>
      <c r="Q448" s="23">
        <f>IF(Refino!$L$24="","",G448*Refino!$L$24*(1-RetCraft))</f>
        <v/>
      </c>
      <c r="R448" s="25">
        <f>IF(Artefatos!$L$46="","",Artefatos!$L$46*(1+TaxaCompra))</f>
        <v/>
      </c>
      <c r="S448">
        <f>IF(Artefatos!$M$46="","",Artefatos!$M$46)</f>
        <v/>
      </c>
      <c r="T448" s="25">
        <f>G448*Refino!$D$24+Artefatos!$F$46</f>
        <v/>
      </c>
      <c r="U448" s="25">
        <f>T448*0.1125*FeeCraft/100</f>
        <v/>
      </c>
      <c r="V448" s="23">
        <f>IF(OR(Q448="",R448=""),"",Q448+R448+U448)</f>
        <v/>
      </c>
      <c r="W448" s="23">
        <f>IF(O448="","",O448*(1-TaxaVenda))</f>
        <v/>
      </c>
      <c r="X448" s="26">
        <f>IF(OR(V448="",W448=""),"",W448-V448)</f>
        <v/>
      </c>
      <c r="Y448" s="27">
        <f>IF(X448="","",X448/V448)</f>
        <v/>
      </c>
    </row>
    <row r="449">
      <c r="A449" t="inlineStr">
        <is>
          <t>Juiz (Judicator)|Botas|T8.0</t>
        </is>
      </c>
      <c r="B449" t="inlineStr">
        <is>
          <t>Juiz (Judicator)</t>
        </is>
      </c>
      <c r="C449" t="inlineStr">
        <is>
          <t>Botas</t>
        </is>
      </c>
      <c r="D449" t="inlineStr">
        <is>
          <t>T8.0</t>
        </is>
      </c>
      <c r="E449" t="n">
        <v>8</v>
      </c>
      <c r="F449" t="n">
        <v>0</v>
      </c>
      <c r="G449" t="n">
        <v>8</v>
      </c>
      <c r="H449" s="22" t="n"/>
      <c r="I449" s="22" t="n"/>
      <c r="J449" s="22" t="n"/>
      <c r="K449" s="22" t="n"/>
      <c r="L449" s="22" t="n"/>
      <c r="M449" s="22" t="n"/>
      <c r="N449" s="22" t="n"/>
      <c r="O449" s="23">
        <f>IF(COUNT(H449:N449)=0,"",MAX(H449:N449))</f>
        <v/>
      </c>
      <c r="P449" s="24">
        <f>IF(O449="","",INDEX($H$3:$N$3,MATCH(O449,H449:N449,0)))</f>
        <v/>
      </c>
      <c r="Q449" s="23">
        <f>IF(Refino!$L$25="","",G449*Refino!$L$25*(1-RetCraft))</f>
        <v/>
      </c>
      <c r="R449" s="25">
        <f>IF(Artefatos!$L$47="","",Artefatos!$L$47*(1+TaxaCompra))</f>
        <v/>
      </c>
      <c r="S449">
        <f>IF(Artefatos!$M$47="","",Artefatos!$M$47)</f>
        <v/>
      </c>
      <c r="T449" s="25">
        <f>G449*Refino!$D$25+Artefatos!$F$47</f>
        <v/>
      </c>
      <c r="U449" s="25">
        <f>T449*0.1125*FeeCraft/100</f>
        <v/>
      </c>
      <c r="V449" s="23">
        <f>IF(OR(Q449="",R449=""),"",Q449+R449+U449)</f>
        <v/>
      </c>
      <c r="W449" s="23">
        <f>IF(O449="","",O449*(1-TaxaVenda))</f>
        <v/>
      </c>
      <c r="X449" s="26">
        <f>IF(OR(V449="",W449=""),"",W449-V449)</f>
        <v/>
      </c>
      <c r="Y449" s="27">
        <f>IF(X449="","",X449/V449)</f>
        <v/>
      </c>
    </row>
    <row r="450">
      <c r="A450" t="inlineStr">
        <is>
          <t>Juiz (Judicator)|Botas|T8.1</t>
        </is>
      </c>
      <c r="B450" t="inlineStr">
        <is>
          <t>Juiz (Judicator)</t>
        </is>
      </c>
      <c r="C450" t="inlineStr">
        <is>
          <t>Botas</t>
        </is>
      </c>
      <c r="D450" t="inlineStr">
        <is>
          <t>T8.1</t>
        </is>
      </c>
      <c r="E450" t="n">
        <v>8</v>
      </c>
      <c r="F450" t="n">
        <v>1</v>
      </c>
      <c r="G450" t="n">
        <v>8</v>
      </c>
      <c r="H450" s="22" t="n"/>
      <c r="I450" s="22" t="n"/>
      <c r="J450" s="22" t="n"/>
      <c r="K450" s="22" t="n"/>
      <c r="L450" s="22" t="n"/>
      <c r="M450" s="22" t="n"/>
      <c r="N450" s="22" t="n"/>
      <c r="O450" s="23">
        <f>IF(COUNT(H450:N450)=0,"",MAX(H450:N450))</f>
        <v/>
      </c>
      <c r="P450" s="24">
        <f>IF(O450="","",INDEX($H$3:$N$3,MATCH(O450,H450:N450,0)))</f>
        <v/>
      </c>
      <c r="Q450" s="23">
        <f>IF(Refino!$L$26="","",G450*Refino!$L$26*(1-RetCraft))</f>
        <v/>
      </c>
      <c r="R450" s="25">
        <f>IF(Artefatos!$L$47="","",Artefatos!$L$47*(1+TaxaCompra))</f>
        <v/>
      </c>
      <c r="S450">
        <f>IF(Artefatos!$M$47="","",Artefatos!$M$47)</f>
        <v/>
      </c>
      <c r="T450" s="25">
        <f>G450*Refino!$D$26+Artefatos!$F$47</f>
        <v/>
      </c>
      <c r="U450" s="25">
        <f>T450*0.1125*FeeCraft/100</f>
        <v/>
      </c>
      <c r="V450" s="23">
        <f>IF(OR(Q450="",R450=""),"",Q450+R450+U450)</f>
        <v/>
      </c>
      <c r="W450" s="23">
        <f>IF(O450="","",O450*(1-TaxaVenda))</f>
        <v/>
      </c>
      <c r="X450" s="26">
        <f>IF(OR(V450="",W450=""),"",W450-V450)</f>
        <v/>
      </c>
      <c r="Y450" s="27">
        <f>IF(X450="","",X450/V450)</f>
        <v/>
      </c>
    </row>
    <row r="451">
      <c r="A451" t="inlineStr">
        <is>
          <t>Juiz (Judicator)|Botas|T8.2</t>
        </is>
      </c>
      <c r="B451" t="inlineStr">
        <is>
          <t>Juiz (Judicator)</t>
        </is>
      </c>
      <c r="C451" t="inlineStr">
        <is>
          <t>Botas</t>
        </is>
      </c>
      <c r="D451" t="inlineStr">
        <is>
          <t>T8.2</t>
        </is>
      </c>
      <c r="E451" t="n">
        <v>8</v>
      </c>
      <c r="F451" t="n">
        <v>2</v>
      </c>
      <c r="G451" t="n">
        <v>8</v>
      </c>
      <c r="H451" s="22" t="n"/>
      <c r="I451" s="22" t="n"/>
      <c r="J451" s="22" t="n"/>
      <c r="K451" s="22" t="n"/>
      <c r="L451" s="22" t="n"/>
      <c r="M451" s="22" t="n"/>
      <c r="N451" s="22" t="n"/>
      <c r="O451" s="23">
        <f>IF(COUNT(H451:N451)=0,"",MAX(H451:N451))</f>
        <v/>
      </c>
      <c r="P451" s="24">
        <f>IF(O451="","",INDEX($H$3:$N$3,MATCH(O451,H451:N451,0)))</f>
        <v/>
      </c>
      <c r="Q451" s="23">
        <f>IF(Refino!$L$27="","",G451*Refino!$L$27*(1-RetCraft))</f>
        <v/>
      </c>
      <c r="R451" s="25">
        <f>IF(Artefatos!$L$47="","",Artefatos!$L$47*(1+TaxaCompra))</f>
        <v/>
      </c>
      <c r="S451">
        <f>IF(Artefatos!$M$47="","",Artefatos!$M$47)</f>
        <v/>
      </c>
      <c r="T451" s="25">
        <f>G451*Refino!$D$27+Artefatos!$F$47</f>
        <v/>
      </c>
      <c r="U451" s="25">
        <f>T451*0.1125*FeeCraft/100</f>
        <v/>
      </c>
      <c r="V451" s="23">
        <f>IF(OR(Q451="",R451=""),"",Q451+R451+U451)</f>
        <v/>
      </c>
      <c r="W451" s="23">
        <f>IF(O451="","",O451*(1-TaxaVenda))</f>
        <v/>
      </c>
      <c r="X451" s="26">
        <f>IF(OR(V451="",W451=""),"",W451-V451)</f>
        <v/>
      </c>
      <c r="Y451" s="27">
        <f>IF(X451="","",X451/V451)</f>
        <v/>
      </c>
    </row>
    <row r="452">
      <c r="A452" t="inlineStr">
        <is>
          <t>Juiz (Judicator)|Botas|T8.3</t>
        </is>
      </c>
      <c r="B452" t="inlineStr">
        <is>
          <t>Juiz (Judicator)</t>
        </is>
      </c>
      <c r="C452" t="inlineStr">
        <is>
          <t>Botas</t>
        </is>
      </c>
      <c r="D452" t="inlineStr">
        <is>
          <t>T8.3</t>
        </is>
      </c>
      <c r="E452" t="n">
        <v>8</v>
      </c>
      <c r="F452" t="n">
        <v>3</v>
      </c>
      <c r="G452" t="n">
        <v>8</v>
      </c>
      <c r="H452" s="22" t="n"/>
      <c r="I452" s="22" t="n"/>
      <c r="J452" s="22" t="n"/>
      <c r="K452" s="22" t="n"/>
      <c r="L452" s="22" t="n"/>
      <c r="M452" s="22" t="n"/>
      <c r="N452" s="22" t="n"/>
      <c r="O452" s="23">
        <f>IF(COUNT(H452:N452)=0,"",MAX(H452:N452))</f>
        <v/>
      </c>
      <c r="P452" s="24">
        <f>IF(O452="","",INDEX($H$3:$N$3,MATCH(O452,H452:N452,0)))</f>
        <v/>
      </c>
      <c r="Q452" s="23">
        <f>IF(Refino!$L$28="","",G452*Refino!$L$28*(1-RetCraft))</f>
        <v/>
      </c>
      <c r="R452" s="25">
        <f>IF(Artefatos!$L$47="","",Artefatos!$L$47*(1+TaxaCompra))</f>
        <v/>
      </c>
      <c r="S452">
        <f>IF(Artefatos!$M$47="","",Artefatos!$M$47)</f>
        <v/>
      </c>
      <c r="T452" s="25">
        <f>G452*Refino!$D$28+Artefatos!$F$47</f>
        <v/>
      </c>
      <c r="U452" s="25">
        <f>T452*0.1125*FeeCraft/100</f>
        <v/>
      </c>
      <c r="V452" s="23">
        <f>IF(OR(Q452="",R452=""),"",Q452+R452+U452)</f>
        <v/>
      </c>
      <c r="W452" s="23">
        <f>IF(O452="","",O452*(1-TaxaVenda))</f>
        <v/>
      </c>
      <c r="X452" s="26">
        <f>IF(OR(V452="",W452=""),"",W452-V452)</f>
        <v/>
      </c>
      <c r="Y452" s="27">
        <f>IF(X452="","",X452/V452)</f>
        <v/>
      </c>
    </row>
    <row r="453">
      <c r="A453" t="inlineStr">
        <is>
          <t>Juiz (Judicator)|Botas|T8.4</t>
        </is>
      </c>
      <c r="B453" t="inlineStr">
        <is>
          <t>Juiz (Judicator)</t>
        </is>
      </c>
      <c r="C453" t="inlineStr">
        <is>
          <t>Botas</t>
        </is>
      </c>
      <c r="D453" t="inlineStr">
        <is>
          <t>T8.4</t>
        </is>
      </c>
      <c r="E453" t="n">
        <v>8</v>
      </c>
      <c r="F453" t="n">
        <v>4</v>
      </c>
      <c r="G453" t="n">
        <v>8</v>
      </c>
      <c r="H453" s="22" t="n"/>
      <c r="I453" s="22" t="n"/>
      <c r="J453" s="22" t="n"/>
      <c r="K453" s="22" t="n"/>
      <c r="L453" s="22" t="n"/>
      <c r="M453" s="22" t="n"/>
      <c r="N453" s="22" t="n"/>
      <c r="O453" s="23">
        <f>IF(COUNT(H453:N453)=0,"",MAX(H453:N453))</f>
        <v/>
      </c>
      <c r="P453" s="24">
        <f>IF(O453="","",INDEX($H$3:$N$3,MATCH(O453,H453:N453,0)))</f>
        <v/>
      </c>
      <c r="Q453" s="23">
        <f>IF(Refino!$L$29="","",G453*Refino!$L$29*(1-RetCraft))</f>
        <v/>
      </c>
      <c r="R453" s="25">
        <f>IF(Artefatos!$L$47="","",Artefatos!$L$47*(1+TaxaCompra))</f>
        <v/>
      </c>
      <c r="S453">
        <f>IF(Artefatos!$M$47="","",Artefatos!$M$47)</f>
        <v/>
      </c>
      <c r="T453" s="25">
        <f>G453*Refino!$D$29+Artefatos!$F$47</f>
        <v/>
      </c>
      <c r="U453" s="25">
        <f>T453*0.1125*FeeCraft/100</f>
        <v/>
      </c>
      <c r="V453" s="23">
        <f>IF(OR(Q453="",R453=""),"",Q453+R453+U453)</f>
        <v/>
      </c>
      <c r="W453" s="23">
        <f>IF(O453="","",O453*(1-TaxaVenda))</f>
        <v/>
      </c>
      <c r="X453" s="26">
        <f>IF(OR(V453="",W453=""),"",W453-V453)</f>
        <v/>
      </c>
      <c r="Y453" s="27">
        <f>IF(X453="","",X453/V453)</f>
        <v/>
      </c>
    </row>
    <row r="454">
      <c r="A454" t="inlineStr">
        <is>
          <t>Duskweaver|Armadura|T4.0</t>
        </is>
      </c>
      <c r="B454" t="inlineStr">
        <is>
          <t>Duskweaver</t>
        </is>
      </c>
      <c r="C454" t="inlineStr">
        <is>
          <t>Armadura</t>
        </is>
      </c>
      <c r="D454" t="inlineStr">
        <is>
          <t>T4.0</t>
        </is>
      </c>
      <c r="E454" t="n">
        <v>4</v>
      </c>
      <c r="F454" t="n">
        <v>0</v>
      </c>
      <c r="G454" t="n">
        <v>16</v>
      </c>
      <c r="H454" s="22" t="n"/>
      <c r="I454" s="22" t="n"/>
      <c r="J454" s="22" t="n"/>
      <c r="K454" s="22" t="n"/>
      <c r="L454" s="22" t="n"/>
      <c r="M454" s="22" t="n"/>
      <c r="N454" s="22" t="n"/>
      <c r="O454" s="23">
        <f>IF(COUNT(H454:N454)=0,"",MAX(H454:N454))</f>
        <v/>
      </c>
      <c r="P454" s="24">
        <f>IF(O454="","",INDEX($H$3:$N$3,MATCH(O454,H454:N454,0)))</f>
        <v/>
      </c>
      <c r="Q454" s="23">
        <f>IF(Refino!$L$5="","",G454*Refino!$L$5*(1-RetCraft))</f>
        <v/>
      </c>
      <c r="R454" s="25">
        <f>IF(Artefatos!$L$48="","",Artefatos!$L$48*(1+TaxaCompra))</f>
        <v/>
      </c>
      <c r="S454">
        <f>IF(Artefatos!$M$48="","",Artefatos!$M$48)</f>
        <v/>
      </c>
      <c r="T454" s="25">
        <f>G454*Refino!$D$5+Artefatos!$F$48</f>
        <v/>
      </c>
      <c r="U454" s="25">
        <f>T454*0.1125*FeeCraft/100</f>
        <v/>
      </c>
      <c r="V454" s="23">
        <f>IF(OR(Q454="",R454=""),"",Q454+R454+U454)</f>
        <v/>
      </c>
      <c r="W454" s="23">
        <f>IF(O454="","",O454*(1-TaxaVenda))</f>
        <v/>
      </c>
      <c r="X454" s="26">
        <f>IF(OR(V454="",W454=""),"",W454-V454)</f>
        <v/>
      </c>
      <c r="Y454" s="27">
        <f>IF(X454="","",X454/V454)</f>
        <v/>
      </c>
    </row>
    <row r="455">
      <c r="A455" t="inlineStr">
        <is>
          <t>Duskweaver|Armadura|T4.1</t>
        </is>
      </c>
      <c r="B455" t="inlineStr">
        <is>
          <t>Duskweaver</t>
        </is>
      </c>
      <c r="C455" t="inlineStr">
        <is>
          <t>Armadura</t>
        </is>
      </c>
      <c r="D455" t="inlineStr">
        <is>
          <t>T4.1</t>
        </is>
      </c>
      <c r="E455" t="n">
        <v>4</v>
      </c>
      <c r="F455" t="n">
        <v>1</v>
      </c>
      <c r="G455" t="n">
        <v>16</v>
      </c>
      <c r="H455" s="22" t="n"/>
      <c r="I455" s="22" t="n"/>
      <c r="J455" s="22" t="n"/>
      <c r="K455" s="22" t="n"/>
      <c r="L455" s="22" t="n"/>
      <c r="M455" s="22" t="n"/>
      <c r="N455" s="22" t="n"/>
      <c r="O455" s="23">
        <f>IF(COUNT(H455:N455)=0,"",MAX(H455:N455))</f>
        <v/>
      </c>
      <c r="P455" s="24">
        <f>IF(O455="","",INDEX($H$3:$N$3,MATCH(O455,H455:N455,0)))</f>
        <v/>
      </c>
      <c r="Q455" s="23">
        <f>IF(Refino!$L$6="","",G455*Refino!$L$6*(1-RetCraft))</f>
        <v/>
      </c>
      <c r="R455" s="25">
        <f>IF(Artefatos!$L$48="","",Artefatos!$L$48*(1+TaxaCompra))</f>
        <v/>
      </c>
      <c r="S455">
        <f>IF(Artefatos!$M$48="","",Artefatos!$M$48)</f>
        <v/>
      </c>
      <c r="T455" s="25">
        <f>G455*Refino!$D$6+Artefatos!$F$48</f>
        <v/>
      </c>
      <c r="U455" s="25">
        <f>T455*0.1125*FeeCraft/100</f>
        <v/>
      </c>
      <c r="V455" s="23">
        <f>IF(OR(Q455="",R455=""),"",Q455+R455+U455)</f>
        <v/>
      </c>
      <c r="W455" s="23">
        <f>IF(O455="","",O455*(1-TaxaVenda))</f>
        <v/>
      </c>
      <c r="X455" s="26">
        <f>IF(OR(V455="",W455=""),"",W455-V455)</f>
        <v/>
      </c>
      <c r="Y455" s="27">
        <f>IF(X455="","",X455/V455)</f>
        <v/>
      </c>
    </row>
    <row r="456">
      <c r="A456" t="inlineStr">
        <is>
          <t>Duskweaver|Armadura|T4.2</t>
        </is>
      </c>
      <c r="B456" t="inlineStr">
        <is>
          <t>Duskweaver</t>
        </is>
      </c>
      <c r="C456" t="inlineStr">
        <is>
          <t>Armadura</t>
        </is>
      </c>
      <c r="D456" t="inlineStr">
        <is>
          <t>T4.2</t>
        </is>
      </c>
      <c r="E456" t="n">
        <v>4</v>
      </c>
      <c r="F456" t="n">
        <v>2</v>
      </c>
      <c r="G456" t="n">
        <v>16</v>
      </c>
      <c r="H456" s="22" t="n"/>
      <c r="I456" s="22" t="n"/>
      <c r="J456" s="22" t="n"/>
      <c r="K456" s="22" t="n"/>
      <c r="L456" s="22" t="n"/>
      <c r="M456" s="22" t="n"/>
      <c r="N456" s="22" t="n"/>
      <c r="O456" s="23">
        <f>IF(COUNT(H456:N456)=0,"",MAX(H456:N456))</f>
        <v/>
      </c>
      <c r="P456" s="24">
        <f>IF(O456="","",INDEX($H$3:$N$3,MATCH(O456,H456:N456,0)))</f>
        <v/>
      </c>
      <c r="Q456" s="23">
        <f>IF(Refino!$L$7="","",G456*Refino!$L$7*(1-RetCraft))</f>
        <v/>
      </c>
      <c r="R456" s="25">
        <f>IF(Artefatos!$L$48="","",Artefatos!$L$48*(1+TaxaCompra))</f>
        <v/>
      </c>
      <c r="S456">
        <f>IF(Artefatos!$M$48="","",Artefatos!$M$48)</f>
        <v/>
      </c>
      <c r="T456" s="25">
        <f>G456*Refino!$D$7+Artefatos!$F$48</f>
        <v/>
      </c>
      <c r="U456" s="25">
        <f>T456*0.1125*FeeCraft/100</f>
        <v/>
      </c>
      <c r="V456" s="23">
        <f>IF(OR(Q456="",R456=""),"",Q456+R456+U456)</f>
        <v/>
      </c>
      <c r="W456" s="23">
        <f>IF(O456="","",O456*(1-TaxaVenda))</f>
        <v/>
      </c>
      <c r="X456" s="26">
        <f>IF(OR(V456="",W456=""),"",W456-V456)</f>
        <v/>
      </c>
      <c r="Y456" s="27">
        <f>IF(X456="","",X456/V456)</f>
        <v/>
      </c>
    </row>
    <row r="457">
      <c r="A457" t="inlineStr">
        <is>
          <t>Duskweaver|Armadura|T4.3</t>
        </is>
      </c>
      <c r="B457" t="inlineStr">
        <is>
          <t>Duskweaver</t>
        </is>
      </c>
      <c r="C457" t="inlineStr">
        <is>
          <t>Armadura</t>
        </is>
      </c>
      <c r="D457" t="inlineStr">
        <is>
          <t>T4.3</t>
        </is>
      </c>
      <c r="E457" t="n">
        <v>4</v>
      </c>
      <c r="F457" t="n">
        <v>3</v>
      </c>
      <c r="G457" t="n">
        <v>16</v>
      </c>
      <c r="H457" s="22" t="n"/>
      <c r="I457" s="22" t="n"/>
      <c r="J457" s="22" t="n"/>
      <c r="K457" s="22" t="n"/>
      <c r="L457" s="22" t="n"/>
      <c r="M457" s="22" t="n"/>
      <c r="N457" s="22" t="n"/>
      <c r="O457" s="23">
        <f>IF(COUNT(H457:N457)=0,"",MAX(H457:N457))</f>
        <v/>
      </c>
      <c r="P457" s="24">
        <f>IF(O457="","",INDEX($H$3:$N$3,MATCH(O457,H457:N457,0)))</f>
        <v/>
      </c>
      <c r="Q457" s="23">
        <f>IF(Refino!$L$8="","",G457*Refino!$L$8*(1-RetCraft))</f>
        <v/>
      </c>
      <c r="R457" s="25">
        <f>IF(Artefatos!$L$48="","",Artefatos!$L$48*(1+TaxaCompra))</f>
        <v/>
      </c>
      <c r="S457">
        <f>IF(Artefatos!$M$48="","",Artefatos!$M$48)</f>
        <v/>
      </c>
      <c r="T457" s="25">
        <f>G457*Refino!$D$8+Artefatos!$F$48</f>
        <v/>
      </c>
      <c r="U457" s="25">
        <f>T457*0.1125*FeeCraft/100</f>
        <v/>
      </c>
      <c r="V457" s="23">
        <f>IF(OR(Q457="",R457=""),"",Q457+R457+U457)</f>
        <v/>
      </c>
      <c r="W457" s="23">
        <f>IF(O457="","",O457*(1-TaxaVenda))</f>
        <v/>
      </c>
      <c r="X457" s="26">
        <f>IF(OR(V457="",W457=""),"",W457-V457)</f>
        <v/>
      </c>
      <c r="Y457" s="27">
        <f>IF(X457="","",X457/V457)</f>
        <v/>
      </c>
    </row>
    <row r="458">
      <c r="A458" t="inlineStr">
        <is>
          <t>Duskweaver|Armadura|T4.4</t>
        </is>
      </c>
      <c r="B458" t="inlineStr">
        <is>
          <t>Duskweaver</t>
        </is>
      </c>
      <c r="C458" t="inlineStr">
        <is>
          <t>Armadura</t>
        </is>
      </c>
      <c r="D458" t="inlineStr">
        <is>
          <t>T4.4</t>
        </is>
      </c>
      <c r="E458" t="n">
        <v>4</v>
      </c>
      <c r="F458" t="n">
        <v>4</v>
      </c>
      <c r="G458" t="n">
        <v>16</v>
      </c>
      <c r="H458" s="22" t="n"/>
      <c r="I458" s="22" t="n"/>
      <c r="J458" s="22" t="n"/>
      <c r="K458" s="22" t="n"/>
      <c r="L458" s="22" t="n"/>
      <c r="M458" s="22" t="n"/>
      <c r="N458" s="22" t="n"/>
      <c r="O458" s="23">
        <f>IF(COUNT(H458:N458)=0,"",MAX(H458:N458))</f>
        <v/>
      </c>
      <c r="P458" s="24">
        <f>IF(O458="","",INDEX($H$3:$N$3,MATCH(O458,H458:N458,0)))</f>
        <v/>
      </c>
      <c r="Q458" s="23">
        <f>IF(Refino!$L$9="","",G458*Refino!$L$9*(1-RetCraft))</f>
        <v/>
      </c>
      <c r="R458" s="25">
        <f>IF(Artefatos!$L$48="","",Artefatos!$L$48*(1+TaxaCompra))</f>
        <v/>
      </c>
      <c r="S458">
        <f>IF(Artefatos!$M$48="","",Artefatos!$M$48)</f>
        <v/>
      </c>
      <c r="T458" s="25">
        <f>G458*Refino!$D$9+Artefatos!$F$48</f>
        <v/>
      </c>
      <c r="U458" s="25">
        <f>T458*0.1125*FeeCraft/100</f>
        <v/>
      </c>
      <c r="V458" s="23">
        <f>IF(OR(Q458="",R458=""),"",Q458+R458+U458)</f>
        <v/>
      </c>
      <c r="W458" s="23">
        <f>IF(O458="","",O458*(1-TaxaVenda))</f>
        <v/>
      </c>
      <c r="X458" s="26">
        <f>IF(OR(V458="",W458=""),"",W458-V458)</f>
        <v/>
      </c>
      <c r="Y458" s="27">
        <f>IF(X458="","",X458/V458)</f>
        <v/>
      </c>
    </row>
    <row r="459">
      <c r="A459" t="inlineStr">
        <is>
          <t>Duskweaver|Armadura|T5.0</t>
        </is>
      </c>
      <c r="B459" t="inlineStr">
        <is>
          <t>Duskweaver</t>
        </is>
      </c>
      <c r="C459" t="inlineStr">
        <is>
          <t>Armadura</t>
        </is>
      </c>
      <c r="D459" t="inlineStr">
        <is>
          <t>T5.0</t>
        </is>
      </c>
      <c r="E459" t="n">
        <v>5</v>
      </c>
      <c r="F459" t="n">
        <v>0</v>
      </c>
      <c r="G459" t="n">
        <v>16</v>
      </c>
      <c r="H459" s="22" t="n"/>
      <c r="I459" s="22" t="n"/>
      <c r="J459" s="22" t="n"/>
      <c r="K459" s="22" t="n"/>
      <c r="L459" s="22" t="n"/>
      <c r="M459" s="22" t="n"/>
      <c r="N459" s="22" t="n"/>
      <c r="O459" s="23">
        <f>IF(COUNT(H459:N459)=0,"",MAX(H459:N459))</f>
        <v/>
      </c>
      <c r="P459" s="24">
        <f>IF(O459="","",INDEX($H$3:$N$3,MATCH(O459,H459:N459,0)))</f>
        <v/>
      </c>
      <c r="Q459" s="23">
        <f>IF(Refino!$L$10="","",G459*Refino!$L$10*(1-RetCraft))</f>
        <v/>
      </c>
      <c r="R459" s="25">
        <f>IF(Artefatos!$L$49="","",Artefatos!$L$49*(1+TaxaCompra))</f>
        <v/>
      </c>
      <c r="S459">
        <f>IF(Artefatos!$M$49="","",Artefatos!$M$49)</f>
        <v/>
      </c>
      <c r="T459" s="25">
        <f>G459*Refino!$D$10+Artefatos!$F$49</f>
        <v/>
      </c>
      <c r="U459" s="25">
        <f>T459*0.1125*FeeCraft/100</f>
        <v/>
      </c>
      <c r="V459" s="23">
        <f>IF(OR(Q459="",R459=""),"",Q459+R459+U459)</f>
        <v/>
      </c>
      <c r="W459" s="23">
        <f>IF(O459="","",O459*(1-TaxaVenda))</f>
        <v/>
      </c>
      <c r="X459" s="26">
        <f>IF(OR(V459="",W459=""),"",W459-V459)</f>
        <v/>
      </c>
      <c r="Y459" s="27">
        <f>IF(X459="","",X459/V459)</f>
        <v/>
      </c>
    </row>
    <row r="460">
      <c r="A460" t="inlineStr">
        <is>
          <t>Duskweaver|Armadura|T5.1</t>
        </is>
      </c>
      <c r="B460" t="inlineStr">
        <is>
          <t>Duskweaver</t>
        </is>
      </c>
      <c r="C460" t="inlineStr">
        <is>
          <t>Armadura</t>
        </is>
      </c>
      <c r="D460" t="inlineStr">
        <is>
          <t>T5.1</t>
        </is>
      </c>
      <c r="E460" t="n">
        <v>5</v>
      </c>
      <c r="F460" t="n">
        <v>1</v>
      </c>
      <c r="G460" t="n">
        <v>16</v>
      </c>
      <c r="H460" s="22" t="n"/>
      <c r="I460" s="22" t="n"/>
      <c r="J460" s="22" t="n"/>
      <c r="K460" s="22" t="n"/>
      <c r="L460" s="22" t="n"/>
      <c r="M460" s="22" t="n"/>
      <c r="N460" s="22" t="n"/>
      <c r="O460" s="23">
        <f>IF(COUNT(H460:N460)=0,"",MAX(H460:N460))</f>
        <v/>
      </c>
      <c r="P460" s="24">
        <f>IF(O460="","",INDEX($H$3:$N$3,MATCH(O460,H460:N460,0)))</f>
        <v/>
      </c>
      <c r="Q460" s="23">
        <f>IF(Refino!$L$11="","",G460*Refino!$L$11*(1-RetCraft))</f>
        <v/>
      </c>
      <c r="R460" s="25">
        <f>IF(Artefatos!$L$49="","",Artefatos!$L$49*(1+TaxaCompra))</f>
        <v/>
      </c>
      <c r="S460">
        <f>IF(Artefatos!$M$49="","",Artefatos!$M$49)</f>
        <v/>
      </c>
      <c r="T460" s="25">
        <f>G460*Refino!$D$11+Artefatos!$F$49</f>
        <v/>
      </c>
      <c r="U460" s="25">
        <f>T460*0.1125*FeeCraft/100</f>
        <v/>
      </c>
      <c r="V460" s="23">
        <f>IF(OR(Q460="",R460=""),"",Q460+R460+U460)</f>
        <v/>
      </c>
      <c r="W460" s="23">
        <f>IF(O460="","",O460*(1-TaxaVenda))</f>
        <v/>
      </c>
      <c r="X460" s="26">
        <f>IF(OR(V460="",W460=""),"",W460-V460)</f>
        <v/>
      </c>
      <c r="Y460" s="27">
        <f>IF(X460="","",X460/V460)</f>
        <v/>
      </c>
    </row>
    <row r="461">
      <c r="A461" t="inlineStr">
        <is>
          <t>Duskweaver|Armadura|T5.2</t>
        </is>
      </c>
      <c r="B461" t="inlineStr">
        <is>
          <t>Duskweaver</t>
        </is>
      </c>
      <c r="C461" t="inlineStr">
        <is>
          <t>Armadura</t>
        </is>
      </c>
      <c r="D461" t="inlineStr">
        <is>
          <t>T5.2</t>
        </is>
      </c>
      <c r="E461" t="n">
        <v>5</v>
      </c>
      <c r="F461" t="n">
        <v>2</v>
      </c>
      <c r="G461" t="n">
        <v>16</v>
      </c>
      <c r="H461" s="22" t="n"/>
      <c r="I461" s="22" t="n"/>
      <c r="J461" s="22" t="n"/>
      <c r="K461" s="22" t="n"/>
      <c r="L461" s="22" t="n"/>
      <c r="M461" s="22" t="n"/>
      <c r="N461" s="22" t="n"/>
      <c r="O461" s="23">
        <f>IF(COUNT(H461:N461)=0,"",MAX(H461:N461))</f>
        <v/>
      </c>
      <c r="P461" s="24">
        <f>IF(O461="","",INDEX($H$3:$N$3,MATCH(O461,H461:N461,0)))</f>
        <v/>
      </c>
      <c r="Q461" s="23">
        <f>IF(Refino!$L$12="","",G461*Refino!$L$12*(1-RetCraft))</f>
        <v/>
      </c>
      <c r="R461" s="25">
        <f>IF(Artefatos!$L$49="","",Artefatos!$L$49*(1+TaxaCompra))</f>
        <v/>
      </c>
      <c r="S461">
        <f>IF(Artefatos!$M$49="","",Artefatos!$M$49)</f>
        <v/>
      </c>
      <c r="T461" s="25">
        <f>G461*Refino!$D$12+Artefatos!$F$49</f>
        <v/>
      </c>
      <c r="U461" s="25">
        <f>T461*0.1125*FeeCraft/100</f>
        <v/>
      </c>
      <c r="V461" s="23">
        <f>IF(OR(Q461="",R461=""),"",Q461+R461+U461)</f>
        <v/>
      </c>
      <c r="W461" s="23">
        <f>IF(O461="","",O461*(1-TaxaVenda))</f>
        <v/>
      </c>
      <c r="X461" s="26">
        <f>IF(OR(V461="",W461=""),"",W461-V461)</f>
        <v/>
      </c>
      <c r="Y461" s="27">
        <f>IF(X461="","",X461/V461)</f>
        <v/>
      </c>
    </row>
    <row r="462">
      <c r="A462" t="inlineStr">
        <is>
          <t>Duskweaver|Armadura|T5.3</t>
        </is>
      </c>
      <c r="B462" t="inlineStr">
        <is>
          <t>Duskweaver</t>
        </is>
      </c>
      <c r="C462" t="inlineStr">
        <is>
          <t>Armadura</t>
        </is>
      </c>
      <c r="D462" t="inlineStr">
        <is>
          <t>T5.3</t>
        </is>
      </c>
      <c r="E462" t="n">
        <v>5</v>
      </c>
      <c r="F462" t="n">
        <v>3</v>
      </c>
      <c r="G462" t="n">
        <v>16</v>
      </c>
      <c r="H462" s="22" t="n"/>
      <c r="I462" s="22" t="n"/>
      <c r="J462" s="22" t="n"/>
      <c r="K462" s="22" t="n"/>
      <c r="L462" s="22" t="n"/>
      <c r="M462" s="22" t="n"/>
      <c r="N462" s="22" t="n"/>
      <c r="O462" s="23">
        <f>IF(COUNT(H462:N462)=0,"",MAX(H462:N462))</f>
        <v/>
      </c>
      <c r="P462" s="24">
        <f>IF(O462="","",INDEX($H$3:$N$3,MATCH(O462,H462:N462,0)))</f>
        <v/>
      </c>
      <c r="Q462" s="23">
        <f>IF(Refino!$L$13="","",G462*Refino!$L$13*(1-RetCraft))</f>
        <v/>
      </c>
      <c r="R462" s="25">
        <f>IF(Artefatos!$L$49="","",Artefatos!$L$49*(1+TaxaCompra))</f>
        <v/>
      </c>
      <c r="S462">
        <f>IF(Artefatos!$M$49="","",Artefatos!$M$49)</f>
        <v/>
      </c>
      <c r="T462" s="25">
        <f>G462*Refino!$D$13+Artefatos!$F$49</f>
        <v/>
      </c>
      <c r="U462" s="25">
        <f>T462*0.1125*FeeCraft/100</f>
        <v/>
      </c>
      <c r="V462" s="23">
        <f>IF(OR(Q462="",R462=""),"",Q462+R462+U462)</f>
        <v/>
      </c>
      <c r="W462" s="23">
        <f>IF(O462="","",O462*(1-TaxaVenda))</f>
        <v/>
      </c>
      <c r="X462" s="26">
        <f>IF(OR(V462="",W462=""),"",W462-V462)</f>
        <v/>
      </c>
      <c r="Y462" s="27">
        <f>IF(X462="","",X462/V462)</f>
        <v/>
      </c>
    </row>
    <row r="463">
      <c r="A463" t="inlineStr">
        <is>
          <t>Duskweaver|Armadura|T5.4</t>
        </is>
      </c>
      <c r="B463" t="inlineStr">
        <is>
          <t>Duskweaver</t>
        </is>
      </c>
      <c r="C463" t="inlineStr">
        <is>
          <t>Armadura</t>
        </is>
      </c>
      <c r="D463" t="inlineStr">
        <is>
          <t>T5.4</t>
        </is>
      </c>
      <c r="E463" t="n">
        <v>5</v>
      </c>
      <c r="F463" t="n">
        <v>4</v>
      </c>
      <c r="G463" t="n">
        <v>16</v>
      </c>
      <c r="H463" s="22" t="n"/>
      <c r="I463" s="22" t="n"/>
      <c r="J463" s="22" t="n"/>
      <c r="K463" s="22" t="n"/>
      <c r="L463" s="22" t="n"/>
      <c r="M463" s="22" t="n"/>
      <c r="N463" s="22" t="n"/>
      <c r="O463" s="23">
        <f>IF(COUNT(H463:N463)=0,"",MAX(H463:N463))</f>
        <v/>
      </c>
      <c r="P463" s="24">
        <f>IF(O463="","",INDEX($H$3:$N$3,MATCH(O463,H463:N463,0)))</f>
        <v/>
      </c>
      <c r="Q463" s="23">
        <f>IF(Refino!$L$14="","",G463*Refino!$L$14*(1-RetCraft))</f>
        <v/>
      </c>
      <c r="R463" s="25">
        <f>IF(Artefatos!$L$49="","",Artefatos!$L$49*(1+TaxaCompra))</f>
        <v/>
      </c>
      <c r="S463">
        <f>IF(Artefatos!$M$49="","",Artefatos!$M$49)</f>
        <v/>
      </c>
      <c r="T463" s="25">
        <f>G463*Refino!$D$14+Artefatos!$F$49</f>
        <v/>
      </c>
      <c r="U463" s="25">
        <f>T463*0.1125*FeeCraft/100</f>
        <v/>
      </c>
      <c r="V463" s="23">
        <f>IF(OR(Q463="",R463=""),"",Q463+R463+U463)</f>
        <v/>
      </c>
      <c r="W463" s="23">
        <f>IF(O463="","",O463*(1-TaxaVenda))</f>
        <v/>
      </c>
      <c r="X463" s="26">
        <f>IF(OR(V463="",W463=""),"",W463-V463)</f>
        <v/>
      </c>
      <c r="Y463" s="27">
        <f>IF(X463="","",X463/V463)</f>
        <v/>
      </c>
    </row>
    <row r="464">
      <c r="A464" t="inlineStr">
        <is>
          <t>Duskweaver|Armadura|T6.0</t>
        </is>
      </c>
      <c r="B464" t="inlineStr">
        <is>
          <t>Duskweaver</t>
        </is>
      </c>
      <c r="C464" t="inlineStr">
        <is>
          <t>Armadura</t>
        </is>
      </c>
      <c r="D464" t="inlineStr">
        <is>
          <t>T6.0</t>
        </is>
      </c>
      <c r="E464" t="n">
        <v>6</v>
      </c>
      <c r="F464" t="n">
        <v>0</v>
      </c>
      <c r="G464" t="n">
        <v>16</v>
      </c>
      <c r="H464" s="22" t="n"/>
      <c r="I464" s="22" t="n"/>
      <c r="J464" s="22" t="n"/>
      <c r="K464" s="22" t="n"/>
      <c r="L464" s="22" t="n"/>
      <c r="M464" s="22" t="n"/>
      <c r="N464" s="22" t="n"/>
      <c r="O464" s="23">
        <f>IF(COUNT(H464:N464)=0,"",MAX(H464:N464))</f>
        <v/>
      </c>
      <c r="P464" s="24">
        <f>IF(O464="","",INDEX($H$3:$N$3,MATCH(O464,H464:N464,0)))</f>
        <v/>
      </c>
      <c r="Q464" s="23">
        <f>IF(Refino!$L$15="","",G464*Refino!$L$15*(1-RetCraft))</f>
        <v/>
      </c>
      <c r="R464" s="25">
        <f>IF(Artefatos!$L$50="","",Artefatos!$L$50*(1+TaxaCompra))</f>
        <v/>
      </c>
      <c r="S464">
        <f>IF(Artefatos!$M$50="","",Artefatos!$M$50)</f>
        <v/>
      </c>
      <c r="T464" s="25">
        <f>G464*Refino!$D$15+Artefatos!$F$50</f>
        <v/>
      </c>
      <c r="U464" s="25">
        <f>T464*0.1125*FeeCraft/100</f>
        <v/>
      </c>
      <c r="V464" s="23">
        <f>IF(OR(Q464="",R464=""),"",Q464+R464+U464)</f>
        <v/>
      </c>
      <c r="W464" s="23">
        <f>IF(O464="","",O464*(1-TaxaVenda))</f>
        <v/>
      </c>
      <c r="X464" s="26">
        <f>IF(OR(V464="",W464=""),"",W464-V464)</f>
        <v/>
      </c>
      <c r="Y464" s="27">
        <f>IF(X464="","",X464/V464)</f>
        <v/>
      </c>
    </row>
    <row r="465">
      <c r="A465" t="inlineStr">
        <is>
          <t>Duskweaver|Armadura|T6.1</t>
        </is>
      </c>
      <c r="B465" t="inlineStr">
        <is>
          <t>Duskweaver</t>
        </is>
      </c>
      <c r="C465" t="inlineStr">
        <is>
          <t>Armadura</t>
        </is>
      </c>
      <c r="D465" t="inlineStr">
        <is>
          <t>T6.1</t>
        </is>
      </c>
      <c r="E465" t="n">
        <v>6</v>
      </c>
      <c r="F465" t="n">
        <v>1</v>
      </c>
      <c r="G465" t="n">
        <v>16</v>
      </c>
      <c r="H465" s="22" t="n"/>
      <c r="I465" s="22" t="n"/>
      <c r="J465" s="22" t="n"/>
      <c r="K465" s="22" t="n"/>
      <c r="L465" s="22" t="n"/>
      <c r="M465" s="22" t="n"/>
      <c r="N465" s="22" t="n"/>
      <c r="O465" s="23">
        <f>IF(COUNT(H465:N465)=0,"",MAX(H465:N465))</f>
        <v/>
      </c>
      <c r="P465" s="24">
        <f>IF(O465="","",INDEX($H$3:$N$3,MATCH(O465,H465:N465,0)))</f>
        <v/>
      </c>
      <c r="Q465" s="23">
        <f>IF(Refino!$L$16="","",G465*Refino!$L$16*(1-RetCraft))</f>
        <v/>
      </c>
      <c r="R465" s="25">
        <f>IF(Artefatos!$L$50="","",Artefatos!$L$50*(1+TaxaCompra))</f>
        <v/>
      </c>
      <c r="S465">
        <f>IF(Artefatos!$M$50="","",Artefatos!$M$50)</f>
        <v/>
      </c>
      <c r="T465" s="25">
        <f>G465*Refino!$D$16+Artefatos!$F$50</f>
        <v/>
      </c>
      <c r="U465" s="25">
        <f>T465*0.1125*FeeCraft/100</f>
        <v/>
      </c>
      <c r="V465" s="23">
        <f>IF(OR(Q465="",R465=""),"",Q465+R465+U465)</f>
        <v/>
      </c>
      <c r="W465" s="23">
        <f>IF(O465="","",O465*(1-TaxaVenda))</f>
        <v/>
      </c>
      <c r="X465" s="26">
        <f>IF(OR(V465="",W465=""),"",W465-V465)</f>
        <v/>
      </c>
      <c r="Y465" s="27">
        <f>IF(X465="","",X465/V465)</f>
        <v/>
      </c>
    </row>
    <row r="466">
      <c r="A466" t="inlineStr">
        <is>
          <t>Duskweaver|Armadura|T6.2</t>
        </is>
      </c>
      <c r="B466" t="inlineStr">
        <is>
          <t>Duskweaver</t>
        </is>
      </c>
      <c r="C466" t="inlineStr">
        <is>
          <t>Armadura</t>
        </is>
      </c>
      <c r="D466" t="inlineStr">
        <is>
          <t>T6.2</t>
        </is>
      </c>
      <c r="E466" t="n">
        <v>6</v>
      </c>
      <c r="F466" t="n">
        <v>2</v>
      </c>
      <c r="G466" t="n">
        <v>16</v>
      </c>
      <c r="H466" s="22" t="n"/>
      <c r="I466" s="22" t="n"/>
      <c r="J466" s="22" t="n"/>
      <c r="K466" s="22" t="n"/>
      <c r="L466" s="22" t="n"/>
      <c r="M466" s="22" t="n"/>
      <c r="N466" s="22" t="n"/>
      <c r="O466" s="23">
        <f>IF(COUNT(H466:N466)=0,"",MAX(H466:N466))</f>
        <v/>
      </c>
      <c r="P466" s="24">
        <f>IF(O466="","",INDEX($H$3:$N$3,MATCH(O466,H466:N466,0)))</f>
        <v/>
      </c>
      <c r="Q466" s="23">
        <f>IF(Refino!$L$17="","",G466*Refino!$L$17*(1-RetCraft))</f>
        <v/>
      </c>
      <c r="R466" s="25">
        <f>IF(Artefatos!$L$50="","",Artefatos!$L$50*(1+TaxaCompra))</f>
        <v/>
      </c>
      <c r="S466">
        <f>IF(Artefatos!$M$50="","",Artefatos!$M$50)</f>
        <v/>
      </c>
      <c r="T466" s="25">
        <f>G466*Refino!$D$17+Artefatos!$F$50</f>
        <v/>
      </c>
      <c r="U466" s="25">
        <f>T466*0.1125*FeeCraft/100</f>
        <v/>
      </c>
      <c r="V466" s="23">
        <f>IF(OR(Q466="",R466=""),"",Q466+R466+U466)</f>
        <v/>
      </c>
      <c r="W466" s="23">
        <f>IF(O466="","",O466*(1-TaxaVenda))</f>
        <v/>
      </c>
      <c r="X466" s="26">
        <f>IF(OR(V466="",W466=""),"",W466-V466)</f>
        <v/>
      </c>
      <c r="Y466" s="27">
        <f>IF(X466="","",X466/V466)</f>
        <v/>
      </c>
    </row>
    <row r="467">
      <c r="A467" t="inlineStr">
        <is>
          <t>Duskweaver|Armadura|T6.3</t>
        </is>
      </c>
      <c r="B467" t="inlineStr">
        <is>
          <t>Duskweaver</t>
        </is>
      </c>
      <c r="C467" t="inlineStr">
        <is>
          <t>Armadura</t>
        </is>
      </c>
      <c r="D467" t="inlineStr">
        <is>
          <t>T6.3</t>
        </is>
      </c>
      <c r="E467" t="n">
        <v>6</v>
      </c>
      <c r="F467" t="n">
        <v>3</v>
      </c>
      <c r="G467" t="n">
        <v>16</v>
      </c>
      <c r="H467" s="22" t="n"/>
      <c r="I467" s="22" t="n"/>
      <c r="J467" s="22" t="n"/>
      <c r="K467" s="22" t="n"/>
      <c r="L467" s="22" t="n"/>
      <c r="M467" s="22" t="n"/>
      <c r="N467" s="22" t="n"/>
      <c r="O467" s="23">
        <f>IF(COUNT(H467:N467)=0,"",MAX(H467:N467))</f>
        <v/>
      </c>
      <c r="P467" s="24">
        <f>IF(O467="","",INDEX($H$3:$N$3,MATCH(O467,H467:N467,0)))</f>
        <v/>
      </c>
      <c r="Q467" s="23">
        <f>IF(Refino!$L$18="","",G467*Refino!$L$18*(1-RetCraft))</f>
        <v/>
      </c>
      <c r="R467" s="25">
        <f>IF(Artefatos!$L$50="","",Artefatos!$L$50*(1+TaxaCompra))</f>
        <v/>
      </c>
      <c r="S467">
        <f>IF(Artefatos!$M$50="","",Artefatos!$M$50)</f>
        <v/>
      </c>
      <c r="T467" s="25">
        <f>G467*Refino!$D$18+Artefatos!$F$50</f>
        <v/>
      </c>
      <c r="U467" s="25">
        <f>T467*0.1125*FeeCraft/100</f>
        <v/>
      </c>
      <c r="V467" s="23">
        <f>IF(OR(Q467="",R467=""),"",Q467+R467+U467)</f>
        <v/>
      </c>
      <c r="W467" s="23">
        <f>IF(O467="","",O467*(1-TaxaVenda))</f>
        <v/>
      </c>
      <c r="X467" s="26">
        <f>IF(OR(V467="",W467=""),"",W467-V467)</f>
        <v/>
      </c>
      <c r="Y467" s="27">
        <f>IF(X467="","",X467/V467)</f>
        <v/>
      </c>
    </row>
    <row r="468">
      <c r="A468" t="inlineStr">
        <is>
          <t>Duskweaver|Armadura|T6.4</t>
        </is>
      </c>
      <c r="B468" t="inlineStr">
        <is>
          <t>Duskweaver</t>
        </is>
      </c>
      <c r="C468" t="inlineStr">
        <is>
          <t>Armadura</t>
        </is>
      </c>
      <c r="D468" t="inlineStr">
        <is>
          <t>T6.4</t>
        </is>
      </c>
      <c r="E468" t="n">
        <v>6</v>
      </c>
      <c r="F468" t="n">
        <v>4</v>
      </c>
      <c r="G468" t="n">
        <v>16</v>
      </c>
      <c r="H468" s="22" t="n"/>
      <c r="I468" s="22" t="n"/>
      <c r="J468" s="22" t="n"/>
      <c r="K468" s="22" t="n"/>
      <c r="L468" s="22" t="n"/>
      <c r="M468" s="22" t="n"/>
      <c r="N468" s="22" t="n"/>
      <c r="O468" s="23">
        <f>IF(COUNT(H468:N468)=0,"",MAX(H468:N468))</f>
        <v/>
      </c>
      <c r="P468" s="24">
        <f>IF(O468="","",INDEX($H$3:$N$3,MATCH(O468,H468:N468,0)))</f>
        <v/>
      </c>
      <c r="Q468" s="23">
        <f>IF(Refino!$L$19="","",G468*Refino!$L$19*(1-RetCraft))</f>
        <v/>
      </c>
      <c r="R468" s="25">
        <f>IF(Artefatos!$L$50="","",Artefatos!$L$50*(1+TaxaCompra))</f>
        <v/>
      </c>
      <c r="S468">
        <f>IF(Artefatos!$M$50="","",Artefatos!$M$50)</f>
        <v/>
      </c>
      <c r="T468" s="25">
        <f>G468*Refino!$D$19+Artefatos!$F$50</f>
        <v/>
      </c>
      <c r="U468" s="25">
        <f>T468*0.1125*FeeCraft/100</f>
        <v/>
      </c>
      <c r="V468" s="23">
        <f>IF(OR(Q468="",R468=""),"",Q468+R468+U468)</f>
        <v/>
      </c>
      <c r="W468" s="23">
        <f>IF(O468="","",O468*(1-TaxaVenda))</f>
        <v/>
      </c>
      <c r="X468" s="26">
        <f>IF(OR(V468="",W468=""),"",W468-V468)</f>
        <v/>
      </c>
      <c r="Y468" s="27">
        <f>IF(X468="","",X468/V468)</f>
        <v/>
      </c>
    </row>
    <row r="469">
      <c r="A469" t="inlineStr">
        <is>
          <t>Duskweaver|Armadura|T7.0</t>
        </is>
      </c>
      <c r="B469" t="inlineStr">
        <is>
          <t>Duskweaver</t>
        </is>
      </c>
      <c r="C469" t="inlineStr">
        <is>
          <t>Armadura</t>
        </is>
      </c>
      <c r="D469" t="inlineStr">
        <is>
          <t>T7.0</t>
        </is>
      </c>
      <c r="E469" t="n">
        <v>7</v>
      </c>
      <c r="F469" t="n">
        <v>0</v>
      </c>
      <c r="G469" t="n">
        <v>16</v>
      </c>
      <c r="H469" s="22" t="n"/>
      <c r="I469" s="22" t="n"/>
      <c r="J469" s="22" t="n"/>
      <c r="K469" s="22" t="n"/>
      <c r="L469" s="22" t="n"/>
      <c r="M469" s="22" t="n"/>
      <c r="N469" s="22" t="n"/>
      <c r="O469" s="23">
        <f>IF(COUNT(H469:N469)=0,"",MAX(H469:N469))</f>
        <v/>
      </c>
      <c r="P469" s="24">
        <f>IF(O469="","",INDEX($H$3:$N$3,MATCH(O469,H469:N469,0)))</f>
        <v/>
      </c>
      <c r="Q469" s="23">
        <f>IF(Refino!$L$20="","",G469*Refino!$L$20*(1-RetCraft))</f>
        <v/>
      </c>
      <c r="R469" s="25">
        <f>IF(Artefatos!$L$51="","",Artefatos!$L$51*(1+TaxaCompra))</f>
        <v/>
      </c>
      <c r="S469">
        <f>IF(Artefatos!$M$51="","",Artefatos!$M$51)</f>
        <v/>
      </c>
      <c r="T469" s="25">
        <f>G469*Refino!$D$20+Artefatos!$F$51</f>
        <v/>
      </c>
      <c r="U469" s="25">
        <f>T469*0.1125*FeeCraft/100</f>
        <v/>
      </c>
      <c r="V469" s="23">
        <f>IF(OR(Q469="",R469=""),"",Q469+R469+U469)</f>
        <v/>
      </c>
      <c r="W469" s="23">
        <f>IF(O469="","",O469*(1-TaxaVenda))</f>
        <v/>
      </c>
      <c r="X469" s="26">
        <f>IF(OR(V469="",W469=""),"",W469-V469)</f>
        <v/>
      </c>
      <c r="Y469" s="27">
        <f>IF(X469="","",X469/V469)</f>
        <v/>
      </c>
    </row>
    <row r="470">
      <c r="A470" t="inlineStr">
        <is>
          <t>Duskweaver|Armadura|T7.1</t>
        </is>
      </c>
      <c r="B470" t="inlineStr">
        <is>
          <t>Duskweaver</t>
        </is>
      </c>
      <c r="C470" t="inlineStr">
        <is>
          <t>Armadura</t>
        </is>
      </c>
      <c r="D470" t="inlineStr">
        <is>
          <t>T7.1</t>
        </is>
      </c>
      <c r="E470" t="n">
        <v>7</v>
      </c>
      <c r="F470" t="n">
        <v>1</v>
      </c>
      <c r="G470" t="n">
        <v>16</v>
      </c>
      <c r="H470" s="22" t="n"/>
      <c r="I470" s="22" t="n"/>
      <c r="J470" s="22" t="n"/>
      <c r="K470" s="22" t="n"/>
      <c r="L470" s="22" t="n"/>
      <c r="M470" s="22" t="n"/>
      <c r="N470" s="22" t="n"/>
      <c r="O470" s="23">
        <f>IF(COUNT(H470:N470)=0,"",MAX(H470:N470))</f>
        <v/>
      </c>
      <c r="P470" s="24">
        <f>IF(O470="","",INDEX($H$3:$N$3,MATCH(O470,H470:N470,0)))</f>
        <v/>
      </c>
      <c r="Q470" s="23">
        <f>IF(Refino!$L$21="","",G470*Refino!$L$21*(1-RetCraft))</f>
        <v/>
      </c>
      <c r="R470" s="25">
        <f>IF(Artefatos!$L$51="","",Artefatos!$L$51*(1+TaxaCompra))</f>
        <v/>
      </c>
      <c r="S470">
        <f>IF(Artefatos!$M$51="","",Artefatos!$M$51)</f>
        <v/>
      </c>
      <c r="T470" s="25">
        <f>G470*Refino!$D$21+Artefatos!$F$51</f>
        <v/>
      </c>
      <c r="U470" s="25">
        <f>T470*0.1125*FeeCraft/100</f>
        <v/>
      </c>
      <c r="V470" s="23">
        <f>IF(OR(Q470="",R470=""),"",Q470+R470+U470)</f>
        <v/>
      </c>
      <c r="W470" s="23">
        <f>IF(O470="","",O470*(1-TaxaVenda))</f>
        <v/>
      </c>
      <c r="X470" s="26">
        <f>IF(OR(V470="",W470=""),"",W470-V470)</f>
        <v/>
      </c>
      <c r="Y470" s="27">
        <f>IF(X470="","",X470/V470)</f>
        <v/>
      </c>
    </row>
    <row r="471">
      <c r="A471" t="inlineStr">
        <is>
          <t>Duskweaver|Armadura|T7.2</t>
        </is>
      </c>
      <c r="B471" t="inlineStr">
        <is>
          <t>Duskweaver</t>
        </is>
      </c>
      <c r="C471" t="inlineStr">
        <is>
          <t>Armadura</t>
        </is>
      </c>
      <c r="D471" t="inlineStr">
        <is>
          <t>T7.2</t>
        </is>
      </c>
      <c r="E471" t="n">
        <v>7</v>
      </c>
      <c r="F471" t="n">
        <v>2</v>
      </c>
      <c r="G471" t="n">
        <v>16</v>
      </c>
      <c r="H471" s="22" t="n"/>
      <c r="I471" s="22" t="n"/>
      <c r="J471" s="22" t="n"/>
      <c r="K471" s="22" t="n"/>
      <c r="L471" s="22" t="n"/>
      <c r="M471" s="22" t="n"/>
      <c r="N471" s="22" t="n"/>
      <c r="O471" s="23">
        <f>IF(COUNT(H471:N471)=0,"",MAX(H471:N471))</f>
        <v/>
      </c>
      <c r="P471" s="24">
        <f>IF(O471="","",INDEX($H$3:$N$3,MATCH(O471,H471:N471,0)))</f>
        <v/>
      </c>
      <c r="Q471" s="23">
        <f>IF(Refino!$L$22="","",G471*Refino!$L$22*(1-RetCraft))</f>
        <v/>
      </c>
      <c r="R471" s="25">
        <f>IF(Artefatos!$L$51="","",Artefatos!$L$51*(1+TaxaCompra))</f>
        <v/>
      </c>
      <c r="S471">
        <f>IF(Artefatos!$M$51="","",Artefatos!$M$51)</f>
        <v/>
      </c>
      <c r="T471" s="25">
        <f>G471*Refino!$D$22+Artefatos!$F$51</f>
        <v/>
      </c>
      <c r="U471" s="25">
        <f>T471*0.1125*FeeCraft/100</f>
        <v/>
      </c>
      <c r="V471" s="23">
        <f>IF(OR(Q471="",R471=""),"",Q471+R471+U471)</f>
        <v/>
      </c>
      <c r="W471" s="23">
        <f>IF(O471="","",O471*(1-TaxaVenda))</f>
        <v/>
      </c>
      <c r="X471" s="26">
        <f>IF(OR(V471="",W471=""),"",W471-V471)</f>
        <v/>
      </c>
      <c r="Y471" s="27">
        <f>IF(X471="","",X471/V471)</f>
        <v/>
      </c>
    </row>
    <row r="472">
      <c r="A472" t="inlineStr">
        <is>
          <t>Duskweaver|Armadura|T7.3</t>
        </is>
      </c>
      <c r="B472" t="inlineStr">
        <is>
          <t>Duskweaver</t>
        </is>
      </c>
      <c r="C472" t="inlineStr">
        <is>
          <t>Armadura</t>
        </is>
      </c>
      <c r="D472" t="inlineStr">
        <is>
          <t>T7.3</t>
        </is>
      </c>
      <c r="E472" t="n">
        <v>7</v>
      </c>
      <c r="F472" t="n">
        <v>3</v>
      </c>
      <c r="G472" t="n">
        <v>16</v>
      </c>
      <c r="H472" s="22" t="n"/>
      <c r="I472" s="22" t="n"/>
      <c r="J472" s="22" t="n"/>
      <c r="K472" s="22" t="n"/>
      <c r="L472" s="22" t="n"/>
      <c r="M472" s="22" t="n"/>
      <c r="N472" s="22" t="n"/>
      <c r="O472" s="23">
        <f>IF(COUNT(H472:N472)=0,"",MAX(H472:N472))</f>
        <v/>
      </c>
      <c r="P472" s="24">
        <f>IF(O472="","",INDEX($H$3:$N$3,MATCH(O472,H472:N472,0)))</f>
        <v/>
      </c>
      <c r="Q472" s="23">
        <f>IF(Refino!$L$23="","",G472*Refino!$L$23*(1-RetCraft))</f>
        <v/>
      </c>
      <c r="R472" s="25">
        <f>IF(Artefatos!$L$51="","",Artefatos!$L$51*(1+TaxaCompra))</f>
        <v/>
      </c>
      <c r="S472">
        <f>IF(Artefatos!$M$51="","",Artefatos!$M$51)</f>
        <v/>
      </c>
      <c r="T472" s="25">
        <f>G472*Refino!$D$23+Artefatos!$F$51</f>
        <v/>
      </c>
      <c r="U472" s="25">
        <f>T472*0.1125*FeeCraft/100</f>
        <v/>
      </c>
      <c r="V472" s="23">
        <f>IF(OR(Q472="",R472=""),"",Q472+R472+U472)</f>
        <v/>
      </c>
      <c r="W472" s="23">
        <f>IF(O472="","",O472*(1-TaxaVenda))</f>
        <v/>
      </c>
      <c r="X472" s="26">
        <f>IF(OR(V472="",W472=""),"",W472-V472)</f>
        <v/>
      </c>
      <c r="Y472" s="27">
        <f>IF(X472="","",X472/V472)</f>
        <v/>
      </c>
    </row>
    <row r="473">
      <c r="A473" t="inlineStr">
        <is>
          <t>Duskweaver|Armadura|T7.4</t>
        </is>
      </c>
      <c r="B473" t="inlineStr">
        <is>
          <t>Duskweaver</t>
        </is>
      </c>
      <c r="C473" t="inlineStr">
        <is>
          <t>Armadura</t>
        </is>
      </c>
      <c r="D473" t="inlineStr">
        <is>
          <t>T7.4</t>
        </is>
      </c>
      <c r="E473" t="n">
        <v>7</v>
      </c>
      <c r="F473" t="n">
        <v>4</v>
      </c>
      <c r="G473" t="n">
        <v>16</v>
      </c>
      <c r="H473" s="22" t="n"/>
      <c r="I473" s="22" t="n"/>
      <c r="J473" s="22" t="n"/>
      <c r="K473" s="22" t="n"/>
      <c r="L473" s="22" t="n"/>
      <c r="M473" s="22" t="n"/>
      <c r="N473" s="22" t="n"/>
      <c r="O473" s="23">
        <f>IF(COUNT(H473:N473)=0,"",MAX(H473:N473))</f>
        <v/>
      </c>
      <c r="P473" s="24">
        <f>IF(O473="","",INDEX($H$3:$N$3,MATCH(O473,H473:N473,0)))</f>
        <v/>
      </c>
      <c r="Q473" s="23">
        <f>IF(Refino!$L$24="","",G473*Refino!$L$24*(1-RetCraft))</f>
        <v/>
      </c>
      <c r="R473" s="25">
        <f>IF(Artefatos!$L$51="","",Artefatos!$L$51*(1+TaxaCompra))</f>
        <v/>
      </c>
      <c r="S473">
        <f>IF(Artefatos!$M$51="","",Artefatos!$M$51)</f>
        <v/>
      </c>
      <c r="T473" s="25">
        <f>G473*Refino!$D$24+Artefatos!$F$51</f>
        <v/>
      </c>
      <c r="U473" s="25">
        <f>T473*0.1125*FeeCraft/100</f>
        <v/>
      </c>
      <c r="V473" s="23">
        <f>IF(OR(Q473="",R473=""),"",Q473+R473+U473)</f>
        <v/>
      </c>
      <c r="W473" s="23">
        <f>IF(O473="","",O473*(1-TaxaVenda))</f>
        <v/>
      </c>
      <c r="X473" s="26">
        <f>IF(OR(V473="",W473=""),"",W473-V473)</f>
        <v/>
      </c>
      <c r="Y473" s="27">
        <f>IF(X473="","",X473/V473)</f>
        <v/>
      </c>
    </row>
    <row r="474">
      <c r="A474" t="inlineStr">
        <is>
          <t>Duskweaver|Armadura|T8.0</t>
        </is>
      </c>
      <c r="B474" t="inlineStr">
        <is>
          <t>Duskweaver</t>
        </is>
      </c>
      <c r="C474" t="inlineStr">
        <is>
          <t>Armadura</t>
        </is>
      </c>
      <c r="D474" t="inlineStr">
        <is>
          <t>T8.0</t>
        </is>
      </c>
      <c r="E474" t="n">
        <v>8</v>
      </c>
      <c r="F474" t="n">
        <v>0</v>
      </c>
      <c r="G474" t="n">
        <v>16</v>
      </c>
      <c r="H474" s="22" t="n"/>
      <c r="I474" s="22" t="n"/>
      <c r="J474" s="22" t="n"/>
      <c r="K474" s="22" t="n"/>
      <c r="L474" s="22" t="n"/>
      <c r="M474" s="22" t="n"/>
      <c r="N474" s="22" t="n"/>
      <c r="O474" s="23">
        <f>IF(COUNT(H474:N474)=0,"",MAX(H474:N474))</f>
        <v/>
      </c>
      <c r="P474" s="24">
        <f>IF(O474="","",INDEX($H$3:$N$3,MATCH(O474,H474:N474,0)))</f>
        <v/>
      </c>
      <c r="Q474" s="23">
        <f>IF(Refino!$L$25="","",G474*Refino!$L$25*(1-RetCraft))</f>
        <v/>
      </c>
      <c r="R474" s="25">
        <f>IF(Artefatos!$L$52="","",Artefatos!$L$52*(1+TaxaCompra))</f>
        <v/>
      </c>
      <c r="S474">
        <f>IF(Artefatos!$M$52="","",Artefatos!$M$52)</f>
        <v/>
      </c>
      <c r="T474" s="25">
        <f>G474*Refino!$D$25+Artefatos!$F$52</f>
        <v/>
      </c>
      <c r="U474" s="25">
        <f>T474*0.1125*FeeCraft/100</f>
        <v/>
      </c>
      <c r="V474" s="23">
        <f>IF(OR(Q474="",R474=""),"",Q474+R474+U474)</f>
        <v/>
      </c>
      <c r="W474" s="23">
        <f>IF(O474="","",O474*(1-TaxaVenda))</f>
        <v/>
      </c>
      <c r="X474" s="26">
        <f>IF(OR(V474="",W474=""),"",W474-V474)</f>
        <v/>
      </c>
      <c r="Y474" s="27">
        <f>IF(X474="","",X474/V474)</f>
        <v/>
      </c>
    </row>
    <row r="475">
      <c r="A475" t="inlineStr">
        <is>
          <t>Duskweaver|Armadura|T8.1</t>
        </is>
      </c>
      <c r="B475" t="inlineStr">
        <is>
          <t>Duskweaver</t>
        </is>
      </c>
      <c r="C475" t="inlineStr">
        <is>
          <t>Armadura</t>
        </is>
      </c>
      <c r="D475" t="inlineStr">
        <is>
          <t>T8.1</t>
        </is>
      </c>
      <c r="E475" t="n">
        <v>8</v>
      </c>
      <c r="F475" t="n">
        <v>1</v>
      </c>
      <c r="G475" t="n">
        <v>16</v>
      </c>
      <c r="H475" s="22" t="n"/>
      <c r="I475" s="22" t="n"/>
      <c r="J475" s="22" t="n"/>
      <c r="K475" s="22" t="n"/>
      <c r="L475" s="22" t="n"/>
      <c r="M475" s="22" t="n"/>
      <c r="N475" s="22" t="n"/>
      <c r="O475" s="23">
        <f>IF(COUNT(H475:N475)=0,"",MAX(H475:N475))</f>
        <v/>
      </c>
      <c r="P475" s="24">
        <f>IF(O475="","",INDEX($H$3:$N$3,MATCH(O475,H475:N475,0)))</f>
        <v/>
      </c>
      <c r="Q475" s="23">
        <f>IF(Refino!$L$26="","",G475*Refino!$L$26*(1-RetCraft))</f>
        <v/>
      </c>
      <c r="R475" s="25">
        <f>IF(Artefatos!$L$52="","",Artefatos!$L$52*(1+TaxaCompra))</f>
        <v/>
      </c>
      <c r="S475">
        <f>IF(Artefatos!$M$52="","",Artefatos!$M$52)</f>
        <v/>
      </c>
      <c r="T475" s="25">
        <f>G475*Refino!$D$26+Artefatos!$F$52</f>
        <v/>
      </c>
      <c r="U475" s="25">
        <f>T475*0.1125*FeeCraft/100</f>
        <v/>
      </c>
      <c r="V475" s="23">
        <f>IF(OR(Q475="",R475=""),"",Q475+R475+U475)</f>
        <v/>
      </c>
      <c r="W475" s="23">
        <f>IF(O475="","",O475*(1-TaxaVenda))</f>
        <v/>
      </c>
      <c r="X475" s="26">
        <f>IF(OR(V475="",W475=""),"",W475-V475)</f>
        <v/>
      </c>
      <c r="Y475" s="27">
        <f>IF(X475="","",X475/V475)</f>
        <v/>
      </c>
    </row>
    <row r="476">
      <c r="A476" t="inlineStr">
        <is>
          <t>Duskweaver|Armadura|T8.2</t>
        </is>
      </c>
      <c r="B476" t="inlineStr">
        <is>
          <t>Duskweaver</t>
        </is>
      </c>
      <c r="C476" t="inlineStr">
        <is>
          <t>Armadura</t>
        </is>
      </c>
      <c r="D476" t="inlineStr">
        <is>
          <t>T8.2</t>
        </is>
      </c>
      <c r="E476" t="n">
        <v>8</v>
      </c>
      <c r="F476" t="n">
        <v>2</v>
      </c>
      <c r="G476" t="n">
        <v>16</v>
      </c>
      <c r="H476" s="22" t="n"/>
      <c r="I476" s="22" t="n"/>
      <c r="J476" s="22" t="n"/>
      <c r="K476" s="22" t="n"/>
      <c r="L476" s="22" t="n"/>
      <c r="M476" s="22" t="n"/>
      <c r="N476" s="22" t="n"/>
      <c r="O476" s="23">
        <f>IF(COUNT(H476:N476)=0,"",MAX(H476:N476))</f>
        <v/>
      </c>
      <c r="P476" s="24">
        <f>IF(O476="","",INDEX($H$3:$N$3,MATCH(O476,H476:N476,0)))</f>
        <v/>
      </c>
      <c r="Q476" s="23">
        <f>IF(Refino!$L$27="","",G476*Refino!$L$27*(1-RetCraft))</f>
        <v/>
      </c>
      <c r="R476" s="25">
        <f>IF(Artefatos!$L$52="","",Artefatos!$L$52*(1+TaxaCompra))</f>
        <v/>
      </c>
      <c r="S476">
        <f>IF(Artefatos!$M$52="","",Artefatos!$M$52)</f>
        <v/>
      </c>
      <c r="T476" s="25">
        <f>G476*Refino!$D$27+Artefatos!$F$52</f>
        <v/>
      </c>
      <c r="U476" s="25">
        <f>T476*0.1125*FeeCraft/100</f>
        <v/>
      </c>
      <c r="V476" s="23">
        <f>IF(OR(Q476="",R476=""),"",Q476+R476+U476)</f>
        <v/>
      </c>
      <c r="W476" s="23">
        <f>IF(O476="","",O476*(1-TaxaVenda))</f>
        <v/>
      </c>
      <c r="X476" s="26">
        <f>IF(OR(V476="",W476=""),"",W476-V476)</f>
        <v/>
      </c>
      <c r="Y476" s="27">
        <f>IF(X476="","",X476/V476)</f>
        <v/>
      </c>
    </row>
    <row r="477">
      <c r="A477" t="inlineStr">
        <is>
          <t>Duskweaver|Armadura|T8.3</t>
        </is>
      </c>
      <c r="B477" t="inlineStr">
        <is>
          <t>Duskweaver</t>
        </is>
      </c>
      <c r="C477" t="inlineStr">
        <is>
          <t>Armadura</t>
        </is>
      </c>
      <c r="D477" t="inlineStr">
        <is>
          <t>T8.3</t>
        </is>
      </c>
      <c r="E477" t="n">
        <v>8</v>
      </c>
      <c r="F477" t="n">
        <v>3</v>
      </c>
      <c r="G477" t="n">
        <v>16</v>
      </c>
      <c r="H477" s="22" t="n"/>
      <c r="I477" s="22" t="n"/>
      <c r="J477" s="22" t="n"/>
      <c r="K477" s="22" t="n"/>
      <c r="L477" s="22" t="n"/>
      <c r="M477" s="22" t="n"/>
      <c r="N477" s="22" t="n"/>
      <c r="O477" s="23">
        <f>IF(COUNT(H477:N477)=0,"",MAX(H477:N477))</f>
        <v/>
      </c>
      <c r="P477" s="24">
        <f>IF(O477="","",INDEX($H$3:$N$3,MATCH(O477,H477:N477,0)))</f>
        <v/>
      </c>
      <c r="Q477" s="23">
        <f>IF(Refino!$L$28="","",G477*Refino!$L$28*(1-RetCraft))</f>
        <v/>
      </c>
      <c r="R477" s="25">
        <f>IF(Artefatos!$L$52="","",Artefatos!$L$52*(1+TaxaCompra))</f>
        <v/>
      </c>
      <c r="S477">
        <f>IF(Artefatos!$M$52="","",Artefatos!$M$52)</f>
        <v/>
      </c>
      <c r="T477" s="25">
        <f>G477*Refino!$D$28+Artefatos!$F$52</f>
        <v/>
      </c>
      <c r="U477" s="25">
        <f>T477*0.1125*FeeCraft/100</f>
        <v/>
      </c>
      <c r="V477" s="23">
        <f>IF(OR(Q477="",R477=""),"",Q477+R477+U477)</f>
        <v/>
      </c>
      <c r="W477" s="23">
        <f>IF(O477="","",O477*(1-TaxaVenda))</f>
        <v/>
      </c>
      <c r="X477" s="26">
        <f>IF(OR(V477="",W477=""),"",W477-V477)</f>
        <v/>
      </c>
      <c r="Y477" s="27">
        <f>IF(X477="","",X477/V477)</f>
        <v/>
      </c>
    </row>
    <row r="478">
      <c r="A478" t="inlineStr">
        <is>
          <t>Duskweaver|Armadura|T8.4</t>
        </is>
      </c>
      <c r="B478" t="inlineStr">
        <is>
          <t>Duskweaver</t>
        </is>
      </c>
      <c r="C478" t="inlineStr">
        <is>
          <t>Armadura</t>
        </is>
      </c>
      <c r="D478" t="inlineStr">
        <is>
          <t>T8.4</t>
        </is>
      </c>
      <c r="E478" t="n">
        <v>8</v>
      </c>
      <c r="F478" t="n">
        <v>4</v>
      </c>
      <c r="G478" t="n">
        <v>16</v>
      </c>
      <c r="H478" s="22" t="n"/>
      <c r="I478" s="22" t="n"/>
      <c r="J478" s="22" t="n"/>
      <c r="K478" s="22" t="n"/>
      <c r="L478" s="22" t="n"/>
      <c r="M478" s="22" t="n"/>
      <c r="N478" s="22" t="n"/>
      <c r="O478" s="23">
        <f>IF(COUNT(H478:N478)=0,"",MAX(H478:N478))</f>
        <v/>
      </c>
      <c r="P478" s="24">
        <f>IF(O478="","",INDEX($H$3:$N$3,MATCH(O478,H478:N478,0)))</f>
        <v/>
      </c>
      <c r="Q478" s="23">
        <f>IF(Refino!$L$29="","",G478*Refino!$L$29*(1-RetCraft))</f>
        <v/>
      </c>
      <c r="R478" s="25">
        <f>IF(Artefatos!$L$52="","",Artefatos!$L$52*(1+TaxaCompra))</f>
        <v/>
      </c>
      <c r="S478">
        <f>IF(Artefatos!$M$52="","",Artefatos!$M$52)</f>
        <v/>
      </c>
      <c r="T478" s="25">
        <f>G478*Refino!$D$29+Artefatos!$F$52</f>
        <v/>
      </c>
      <c r="U478" s="25">
        <f>T478*0.1125*FeeCraft/100</f>
        <v/>
      </c>
      <c r="V478" s="23">
        <f>IF(OR(Q478="",R478=""),"",Q478+R478+U478)</f>
        <v/>
      </c>
      <c r="W478" s="23">
        <f>IF(O478="","",O478*(1-TaxaVenda))</f>
        <v/>
      </c>
      <c r="X478" s="26">
        <f>IF(OR(V478="",W478=""),"",W478-V478)</f>
        <v/>
      </c>
      <c r="Y478" s="27">
        <f>IF(X478="","",X478/V478)</f>
        <v/>
      </c>
    </row>
    <row r="479">
      <c r="A479" t="inlineStr">
        <is>
          <t>Duskweaver|Elmo|T4.0</t>
        </is>
      </c>
      <c r="B479" t="inlineStr">
        <is>
          <t>Duskweaver</t>
        </is>
      </c>
      <c r="C479" t="inlineStr">
        <is>
          <t>Elmo</t>
        </is>
      </c>
      <c r="D479" t="inlineStr">
        <is>
          <t>T4.0</t>
        </is>
      </c>
      <c r="E479" t="n">
        <v>4</v>
      </c>
      <c r="F479" t="n">
        <v>0</v>
      </c>
      <c r="G479" t="n">
        <v>8</v>
      </c>
      <c r="H479" s="22" t="n"/>
      <c r="I479" s="22" t="n"/>
      <c r="J479" s="22" t="n"/>
      <c r="K479" s="22" t="n"/>
      <c r="L479" s="22" t="n"/>
      <c r="M479" s="22" t="n"/>
      <c r="N479" s="22" t="n"/>
      <c r="O479" s="23">
        <f>IF(COUNT(H479:N479)=0,"",MAX(H479:N479))</f>
        <v/>
      </c>
      <c r="P479" s="24">
        <f>IF(O479="","",INDEX($H$3:$N$3,MATCH(O479,H479:N479,0)))</f>
        <v/>
      </c>
      <c r="Q479" s="23">
        <f>IF(Refino!$L$5="","",G479*Refino!$L$5*(1-RetCraft))</f>
        <v/>
      </c>
      <c r="R479" s="25">
        <f>IF(Artefatos!$L$53="","",Artefatos!$L$53*(1+TaxaCompra))</f>
        <v/>
      </c>
      <c r="S479">
        <f>IF(Artefatos!$M$53="","",Artefatos!$M$53)</f>
        <v/>
      </c>
      <c r="T479" s="25">
        <f>G479*Refino!$D$5+Artefatos!$F$53</f>
        <v/>
      </c>
      <c r="U479" s="25">
        <f>T479*0.1125*FeeCraft/100</f>
        <v/>
      </c>
      <c r="V479" s="23">
        <f>IF(OR(Q479="",R479=""),"",Q479+R479+U479)</f>
        <v/>
      </c>
      <c r="W479" s="23">
        <f>IF(O479="","",O479*(1-TaxaVenda))</f>
        <v/>
      </c>
      <c r="X479" s="26">
        <f>IF(OR(V479="",W479=""),"",W479-V479)</f>
        <v/>
      </c>
      <c r="Y479" s="27">
        <f>IF(X479="","",X479/V479)</f>
        <v/>
      </c>
    </row>
    <row r="480">
      <c r="A480" t="inlineStr">
        <is>
          <t>Duskweaver|Elmo|T4.1</t>
        </is>
      </c>
      <c r="B480" t="inlineStr">
        <is>
          <t>Duskweaver</t>
        </is>
      </c>
      <c r="C480" t="inlineStr">
        <is>
          <t>Elmo</t>
        </is>
      </c>
      <c r="D480" t="inlineStr">
        <is>
          <t>T4.1</t>
        </is>
      </c>
      <c r="E480" t="n">
        <v>4</v>
      </c>
      <c r="F480" t="n">
        <v>1</v>
      </c>
      <c r="G480" t="n">
        <v>8</v>
      </c>
      <c r="H480" s="22" t="n"/>
      <c r="I480" s="22" t="n"/>
      <c r="J480" s="22" t="n"/>
      <c r="K480" s="22" t="n"/>
      <c r="L480" s="22" t="n"/>
      <c r="M480" s="22" t="n"/>
      <c r="N480" s="22" t="n"/>
      <c r="O480" s="23">
        <f>IF(COUNT(H480:N480)=0,"",MAX(H480:N480))</f>
        <v/>
      </c>
      <c r="P480" s="24">
        <f>IF(O480="","",INDEX($H$3:$N$3,MATCH(O480,H480:N480,0)))</f>
        <v/>
      </c>
      <c r="Q480" s="23">
        <f>IF(Refino!$L$6="","",G480*Refino!$L$6*(1-RetCraft))</f>
        <v/>
      </c>
      <c r="R480" s="25">
        <f>IF(Artefatos!$L$53="","",Artefatos!$L$53*(1+TaxaCompra))</f>
        <v/>
      </c>
      <c r="S480">
        <f>IF(Artefatos!$M$53="","",Artefatos!$M$53)</f>
        <v/>
      </c>
      <c r="T480" s="25">
        <f>G480*Refino!$D$6+Artefatos!$F$53</f>
        <v/>
      </c>
      <c r="U480" s="25">
        <f>T480*0.1125*FeeCraft/100</f>
        <v/>
      </c>
      <c r="V480" s="23">
        <f>IF(OR(Q480="",R480=""),"",Q480+R480+U480)</f>
        <v/>
      </c>
      <c r="W480" s="23">
        <f>IF(O480="","",O480*(1-TaxaVenda))</f>
        <v/>
      </c>
      <c r="X480" s="26">
        <f>IF(OR(V480="",W480=""),"",W480-V480)</f>
        <v/>
      </c>
      <c r="Y480" s="27">
        <f>IF(X480="","",X480/V480)</f>
        <v/>
      </c>
    </row>
    <row r="481">
      <c r="A481" t="inlineStr">
        <is>
          <t>Duskweaver|Elmo|T4.2</t>
        </is>
      </c>
      <c r="B481" t="inlineStr">
        <is>
          <t>Duskweaver</t>
        </is>
      </c>
      <c r="C481" t="inlineStr">
        <is>
          <t>Elmo</t>
        </is>
      </c>
      <c r="D481" t="inlineStr">
        <is>
          <t>T4.2</t>
        </is>
      </c>
      <c r="E481" t="n">
        <v>4</v>
      </c>
      <c r="F481" t="n">
        <v>2</v>
      </c>
      <c r="G481" t="n">
        <v>8</v>
      </c>
      <c r="H481" s="22" t="n"/>
      <c r="I481" s="22" t="n"/>
      <c r="J481" s="22" t="n"/>
      <c r="K481" s="22" t="n"/>
      <c r="L481" s="22" t="n"/>
      <c r="M481" s="22" t="n"/>
      <c r="N481" s="22" t="n"/>
      <c r="O481" s="23">
        <f>IF(COUNT(H481:N481)=0,"",MAX(H481:N481))</f>
        <v/>
      </c>
      <c r="P481" s="24">
        <f>IF(O481="","",INDEX($H$3:$N$3,MATCH(O481,H481:N481,0)))</f>
        <v/>
      </c>
      <c r="Q481" s="23">
        <f>IF(Refino!$L$7="","",G481*Refino!$L$7*(1-RetCraft))</f>
        <v/>
      </c>
      <c r="R481" s="25">
        <f>IF(Artefatos!$L$53="","",Artefatos!$L$53*(1+TaxaCompra))</f>
        <v/>
      </c>
      <c r="S481">
        <f>IF(Artefatos!$M$53="","",Artefatos!$M$53)</f>
        <v/>
      </c>
      <c r="T481" s="25">
        <f>G481*Refino!$D$7+Artefatos!$F$53</f>
        <v/>
      </c>
      <c r="U481" s="25">
        <f>T481*0.1125*FeeCraft/100</f>
        <v/>
      </c>
      <c r="V481" s="23">
        <f>IF(OR(Q481="",R481=""),"",Q481+R481+U481)</f>
        <v/>
      </c>
      <c r="W481" s="23">
        <f>IF(O481="","",O481*(1-TaxaVenda))</f>
        <v/>
      </c>
      <c r="X481" s="26">
        <f>IF(OR(V481="",W481=""),"",W481-V481)</f>
        <v/>
      </c>
      <c r="Y481" s="27">
        <f>IF(X481="","",X481/V481)</f>
        <v/>
      </c>
    </row>
    <row r="482">
      <c r="A482" t="inlineStr">
        <is>
          <t>Duskweaver|Elmo|T4.3</t>
        </is>
      </c>
      <c r="B482" t="inlineStr">
        <is>
          <t>Duskweaver</t>
        </is>
      </c>
      <c r="C482" t="inlineStr">
        <is>
          <t>Elmo</t>
        </is>
      </c>
      <c r="D482" t="inlineStr">
        <is>
          <t>T4.3</t>
        </is>
      </c>
      <c r="E482" t="n">
        <v>4</v>
      </c>
      <c r="F482" t="n">
        <v>3</v>
      </c>
      <c r="G482" t="n">
        <v>8</v>
      </c>
      <c r="H482" s="22" t="n"/>
      <c r="I482" s="22" t="n"/>
      <c r="J482" s="22" t="n"/>
      <c r="K482" s="22" t="n"/>
      <c r="L482" s="22" t="n"/>
      <c r="M482" s="22" t="n"/>
      <c r="N482" s="22" t="n"/>
      <c r="O482" s="23">
        <f>IF(COUNT(H482:N482)=0,"",MAX(H482:N482))</f>
        <v/>
      </c>
      <c r="P482" s="24">
        <f>IF(O482="","",INDEX($H$3:$N$3,MATCH(O482,H482:N482,0)))</f>
        <v/>
      </c>
      <c r="Q482" s="23">
        <f>IF(Refino!$L$8="","",G482*Refino!$L$8*(1-RetCraft))</f>
        <v/>
      </c>
      <c r="R482" s="25">
        <f>IF(Artefatos!$L$53="","",Artefatos!$L$53*(1+TaxaCompra))</f>
        <v/>
      </c>
      <c r="S482">
        <f>IF(Artefatos!$M$53="","",Artefatos!$M$53)</f>
        <v/>
      </c>
      <c r="T482" s="25">
        <f>G482*Refino!$D$8+Artefatos!$F$53</f>
        <v/>
      </c>
      <c r="U482" s="25">
        <f>T482*0.1125*FeeCraft/100</f>
        <v/>
      </c>
      <c r="V482" s="23">
        <f>IF(OR(Q482="",R482=""),"",Q482+R482+U482)</f>
        <v/>
      </c>
      <c r="W482" s="23">
        <f>IF(O482="","",O482*(1-TaxaVenda))</f>
        <v/>
      </c>
      <c r="X482" s="26">
        <f>IF(OR(V482="",W482=""),"",W482-V482)</f>
        <v/>
      </c>
      <c r="Y482" s="27">
        <f>IF(X482="","",X482/V482)</f>
        <v/>
      </c>
    </row>
    <row r="483">
      <c r="A483" t="inlineStr">
        <is>
          <t>Duskweaver|Elmo|T4.4</t>
        </is>
      </c>
      <c r="B483" t="inlineStr">
        <is>
          <t>Duskweaver</t>
        </is>
      </c>
      <c r="C483" t="inlineStr">
        <is>
          <t>Elmo</t>
        </is>
      </c>
      <c r="D483" t="inlineStr">
        <is>
          <t>T4.4</t>
        </is>
      </c>
      <c r="E483" t="n">
        <v>4</v>
      </c>
      <c r="F483" t="n">
        <v>4</v>
      </c>
      <c r="G483" t="n">
        <v>8</v>
      </c>
      <c r="H483" s="22" t="n"/>
      <c r="I483" s="22" t="n"/>
      <c r="J483" s="22" t="n"/>
      <c r="K483" s="22" t="n"/>
      <c r="L483" s="22" t="n"/>
      <c r="M483" s="22" t="n"/>
      <c r="N483" s="22" t="n"/>
      <c r="O483" s="23">
        <f>IF(COUNT(H483:N483)=0,"",MAX(H483:N483))</f>
        <v/>
      </c>
      <c r="P483" s="24">
        <f>IF(O483="","",INDEX($H$3:$N$3,MATCH(O483,H483:N483,0)))</f>
        <v/>
      </c>
      <c r="Q483" s="23">
        <f>IF(Refino!$L$9="","",G483*Refino!$L$9*(1-RetCraft))</f>
        <v/>
      </c>
      <c r="R483" s="25">
        <f>IF(Artefatos!$L$53="","",Artefatos!$L$53*(1+TaxaCompra))</f>
        <v/>
      </c>
      <c r="S483">
        <f>IF(Artefatos!$M$53="","",Artefatos!$M$53)</f>
        <v/>
      </c>
      <c r="T483" s="25">
        <f>G483*Refino!$D$9+Artefatos!$F$53</f>
        <v/>
      </c>
      <c r="U483" s="25">
        <f>T483*0.1125*FeeCraft/100</f>
        <v/>
      </c>
      <c r="V483" s="23">
        <f>IF(OR(Q483="",R483=""),"",Q483+R483+U483)</f>
        <v/>
      </c>
      <c r="W483" s="23">
        <f>IF(O483="","",O483*(1-TaxaVenda))</f>
        <v/>
      </c>
      <c r="X483" s="26">
        <f>IF(OR(V483="",W483=""),"",W483-V483)</f>
        <v/>
      </c>
      <c r="Y483" s="27">
        <f>IF(X483="","",X483/V483)</f>
        <v/>
      </c>
    </row>
    <row r="484">
      <c r="A484" t="inlineStr">
        <is>
          <t>Duskweaver|Elmo|T5.0</t>
        </is>
      </c>
      <c r="B484" t="inlineStr">
        <is>
          <t>Duskweaver</t>
        </is>
      </c>
      <c r="C484" t="inlineStr">
        <is>
          <t>Elmo</t>
        </is>
      </c>
      <c r="D484" t="inlineStr">
        <is>
          <t>T5.0</t>
        </is>
      </c>
      <c r="E484" t="n">
        <v>5</v>
      </c>
      <c r="F484" t="n">
        <v>0</v>
      </c>
      <c r="G484" t="n">
        <v>8</v>
      </c>
      <c r="H484" s="22" t="n"/>
      <c r="I484" s="22" t="n"/>
      <c r="J484" s="22" t="n"/>
      <c r="K484" s="22" t="n"/>
      <c r="L484" s="22" t="n"/>
      <c r="M484" s="22" t="n"/>
      <c r="N484" s="22" t="n"/>
      <c r="O484" s="23">
        <f>IF(COUNT(H484:N484)=0,"",MAX(H484:N484))</f>
        <v/>
      </c>
      <c r="P484" s="24">
        <f>IF(O484="","",INDEX($H$3:$N$3,MATCH(O484,H484:N484,0)))</f>
        <v/>
      </c>
      <c r="Q484" s="23">
        <f>IF(Refino!$L$10="","",G484*Refino!$L$10*(1-RetCraft))</f>
        <v/>
      </c>
      <c r="R484" s="25">
        <f>IF(Artefatos!$L$54="","",Artefatos!$L$54*(1+TaxaCompra))</f>
        <v/>
      </c>
      <c r="S484">
        <f>IF(Artefatos!$M$54="","",Artefatos!$M$54)</f>
        <v/>
      </c>
      <c r="T484" s="25">
        <f>G484*Refino!$D$10+Artefatos!$F$54</f>
        <v/>
      </c>
      <c r="U484" s="25">
        <f>T484*0.1125*FeeCraft/100</f>
        <v/>
      </c>
      <c r="V484" s="23">
        <f>IF(OR(Q484="",R484=""),"",Q484+R484+U484)</f>
        <v/>
      </c>
      <c r="W484" s="23">
        <f>IF(O484="","",O484*(1-TaxaVenda))</f>
        <v/>
      </c>
      <c r="X484" s="26">
        <f>IF(OR(V484="",W484=""),"",W484-V484)</f>
        <v/>
      </c>
      <c r="Y484" s="27">
        <f>IF(X484="","",X484/V484)</f>
        <v/>
      </c>
    </row>
    <row r="485">
      <c r="A485" t="inlineStr">
        <is>
          <t>Duskweaver|Elmo|T5.1</t>
        </is>
      </c>
      <c r="B485" t="inlineStr">
        <is>
          <t>Duskweaver</t>
        </is>
      </c>
      <c r="C485" t="inlineStr">
        <is>
          <t>Elmo</t>
        </is>
      </c>
      <c r="D485" t="inlineStr">
        <is>
          <t>T5.1</t>
        </is>
      </c>
      <c r="E485" t="n">
        <v>5</v>
      </c>
      <c r="F485" t="n">
        <v>1</v>
      </c>
      <c r="G485" t="n">
        <v>8</v>
      </c>
      <c r="H485" s="22" t="n"/>
      <c r="I485" s="22" t="n"/>
      <c r="J485" s="22" t="n"/>
      <c r="K485" s="22" t="n"/>
      <c r="L485" s="22" t="n"/>
      <c r="M485" s="22" t="n"/>
      <c r="N485" s="22" t="n"/>
      <c r="O485" s="23">
        <f>IF(COUNT(H485:N485)=0,"",MAX(H485:N485))</f>
        <v/>
      </c>
      <c r="P485" s="24">
        <f>IF(O485="","",INDEX($H$3:$N$3,MATCH(O485,H485:N485,0)))</f>
        <v/>
      </c>
      <c r="Q485" s="23">
        <f>IF(Refino!$L$11="","",G485*Refino!$L$11*(1-RetCraft))</f>
        <v/>
      </c>
      <c r="R485" s="25">
        <f>IF(Artefatos!$L$54="","",Artefatos!$L$54*(1+TaxaCompra))</f>
        <v/>
      </c>
      <c r="S485">
        <f>IF(Artefatos!$M$54="","",Artefatos!$M$54)</f>
        <v/>
      </c>
      <c r="T485" s="25">
        <f>G485*Refino!$D$11+Artefatos!$F$54</f>
        <v/>
      </c>
      <c r="U485" s="25">
        <f>T485*0.1125*FeeCraft/100</f>
        <v/>
      </c>
      <c r="V485" s="23">
        <f>IF(OR(Q485="",R485=""),"",Q485+R485+U485)</f>
        <v/>
      </c>
      <c r="W485" s="23">
        <f>IF(O485="","",O485*(1-TaxaVenda))</f>
        <v/>
      </c>
      <c r="X485" s="26">
        <f>IF(OR(V485="",W485=""),"",W485-V485)</f>
        <v/>
      </c>
      <c r="Y485" s="27">
        <f>IF(X485="","",X485/V485)</f>
        <v/>
      </c>
    </row>
    <row r="486">
      <c r="A486" t="inlineStr">
        <is>
          <t>Duskweaver|Elmo|T5.2</t>
        </is>
      </c>
      <c r="B486" t="inlineStr">
        <is>
          <t>Duskweaver</t>
        </is>
      </c>
      <c r="C486" t="inlineStr">
        <is>
          <t>Elmo</t>
        </is>
      </c>
      <c r="D486" t="inlineStr">
        <is>
          <t>T5.2</t>
        </is>
      </c>
      <c r="E486" t="n">
        <v>5</v>
      </c>
      <c r="F486" t="n">
        <v>2</v>
      </c>
      <c r="G486" t="n">
        <v>8</v>
      </c>
      <c r="H486" s="22" t="n"/>
      <c r="I486" s="22" t="n"/>
      <c r="J486" s="22" t="n"/>
      <c r="K486" s="22" t="n"/>
      <c r="L486" s="22" t="n"/>
      <c r="M486" s="22" t="n"/>
      <c r="N486" s="22" t="n"/>
      <c r="O486" s="23">
        <f>IF(COUNT(H486:N486)=0,"",MAX(H486:N486))</f>
        <v/>
      </c>
      <c r="P486" s="24">
        <f>IF(O486="","",INDEX($H$3:$N$3,MATCH(O486,H486:N486,0)))</f>
        <v/>
      </c>
      <c r="Q486" s="23">
        <f>IF(Refino!$L$12="","",G486*Refino!$L$12*(1-RetCraft))</f>
        <v/>
      </c>
      <c r="R486" s="25">
        <f>IF(Artefatos!$L$54="","",Artefatos!$L$54*(1+TaxaCompra))</f>
        <v/>
      </c>
      <c r="S486">
        <f>IF(Artefatos!$M$54="","",Artefatos!$M$54)</f>
        <v/>
      </c>
      <c r="T486" s="25">
        <f>G486*Refino!$D$12+Artefatos!$F$54</f>
        <v/>
      </c>
      <c r="U486" s="25">
        <f>T486*0.1125*FeeCraft/100</f>
        <v/>
      </c>
      <c r="V486" s="23">
        <f>IF(OR(Q486="",R486=""),"",Q486+R486+U486)</f>
        <v/>
      </c>
      <c r="W486" s="23">
        <f>IF(O486="","",O486*(1-TaxaVenda))</f>
        <v/>
      </c>
      <c r="X486" s="26">
        <f>IF(OR(V486="",W486=""),"",W486-V486)</f>
        <v/>
      </c>
      <c r="Y486" s="27">
        <f>IF(X486="","",X486/V486)</f>
        <v/>
      </c>
    </row>
    <row r="487">
      <c r="A487" t="inlineStr">
        <is>
          <t>Duskweaver|Elmo|T5.3</t>
        </is>
      </c>
      <c r="B487" t="inlineStr">
        <is>
          <t>Duskweaver</t>
        </is>
      </c>
      <c r="C487" t="inlineStr">
        <is>
          <t>Elmo</t>
        </is>
      </c>
      <c r="D487" t="inlineStr">
        <is>
          <t>T5.3</t>
        </is>
      </c>
      <c r="E487" t="n">
        <v>5</v>
      </c>
      <c r="F487" t="n">
        <v>3</v>
      </c>
      <c r="G487" t="n">
        <v>8</v>
      </c>
      <c r="H487" s="22" t="n"/>
      <c r="I487" s="22" t="n"/>
      <c r="J487" s="22" t="n"/>
      <c r="K487" s="22" t="n"/>
      <c r="L487" s="22" t="n"/>
      <c r="M487" s="22" t="n"/>
      <c r="N487" s="22" t="n"/>
      <c r="O487" s="23">
        <f>IF(COUNT(H487:N487)=0,"",MAX(H487:N487))</f>
        <v/>
      </c>
      <c r="P487" s="24">
        <f>IF(O487="","",INDEX($H$3:$N$3,MATCH(O487,H487:N487,0)))</f>
        <v/>
      </c>
      <c r="Q487" s="23">
        <f>IF(Refino!$L$13="","",G487*Refino!$L$13*(1-RetCraft))</f>
        <v/>
      </c>
      <c r="R487" s="25">
        <f>IF(Artefatos!$L$54="","",Artefatos!$L$54*(1+TaxaCompra))</f>
        <v/>
      </c>
      <c r="S487">
        <f>IF(Artefatos!$M$54="","",Artefatos!$M$54)</f>
        <v/>
      </c>
      <c r="T487" s="25">
        <f>G487*Refino!$D$13+Artefatos!$F$54</f>
        <v/>
      </c>
      <c r="U487" s="25">
        <f>T487*0.1125*FeeCraft/100</f>
        <v/>
      </c>
      <c r="V487" s="23">
        <f>IF(OR(Q487="",R487=""),"",Q487+R487+U487)</f>
        <v/>
      </c>
      <c r="W487" s="23">
        <f>IF(O487="","",O487*(1-TaxaVenda))</f>
        <v/>
      </c>
      <c r="X487" s="26">
        <f>IF(OR(V487="",W487=""),"",W487-V487)</f>
        <v/>
      </c>
      <c r="Y487" s="27">
        <f>IF(X487="","",X487/V487)</f>
        <v/>
      </c>
    </row>
    <row r="488">
      <c r="A488" t="inlineStr">
        <is>
          <t>Duskweaver|Elmo|T5.4</t>
        </is>
      </c>
      <c r="B488" t="inlineStr">
        <is>
          <t>Duskweaver</t>
        </is>
      </c>
      <c r="C488" t="inlineStr">
        <is>
          <t>Elmo</t>
        </is>
      </c>
      <c r="D488" t="inlineStr">
        <is>
          <t>T5.4</t>
        </is>
      </c>
      <c r="E488" t="n">
        <v>5</v>
      </c>
      <c r="F488" t="n">
        <v>4</v>
      </c>
      <c r="G488" t="n">
        <v>8</v>
      </c>
      <c r="H488" s="22" t="n"/>
      <c r="I488" s="22" t="n"/>
      <c r="J488" s="22" t="n"/>
      <c r="K488" s="22" t="n"/>
      <c r="L488" s="22" t="n"/>
      <c r="M488" s="22" t="n"/>
      <c r="N488" s="22" t="n"/>
      <c r="O488" s="23">
        <f>IF(COUNT(H488:N488)=0,"",MAX(H488:N488))</f>
        <v/>
      </c>
      <c r="P488" s="24">
        <f>IF(O488="","",INDEX($H$3:$N$3,MATCH(O488,H488:N488,0)))</f>
        <v/>
      </c>
      <c r="Q488" s="23">
        <f>IF(Refino!$L$14="","",G488*Refino!$L$14*(1-RetCraft))</f>
        <v/>
      </c>
      <c r="R488" s="25">
        <f>IF(Artefatos!$L$54="","",Artefatos!$L$54*(1+TaxaCompra))</f>
        <v/>
      </c>
      <c r="S488">
        <f>IF(Artefatos!$M$54="","",Artefatos!$M$54)</f>
        <v/>
      </c>
      <c r="T488" s="25">
        <f>G488*Refino!$D$14+Artefatos!$F$54</f>
        <v/>
      </c>
      <c r="U488" s="25">
        <f>T488*0.1125*FeeCraft/100</f>
        <v/>
      </c>
      <c r="V488" s="23">
        <f>IF(OR(Q488="",R488=""),"",Q488+R488+U488)</f>
        <v/>
      </c>
      <c r="W488" s="23">
        <f>IF(O488="","",O488*(1-TaxaVenda))</f>
        <v/>
      </c>
      <c r="X488" s="26">
        <f>IF(OR(V488="",W488=""),"",W488-V488)</f>
        <v/>
      </c>
      <c r="Y488" s="27">
        <f>IF(X488="","",X488/V488)</f>
        <v/>
      </c>
    </row>
    <row r="489">
      <c r="A489" t="inlineStr">
        <is>
          <t>Duskweaver|Elmo|T6.0</t>
        </is>
      </c>
      <c r="B489" t="inlineStr">
        <is>
          <t>Duskweaver</t>
        </is>
      </c>
      <c r="C489" t="inlineStr">
        <is>
          <t>Elmo</t>
        </is>
      </c>
      <c r="D489" t="inlineStr">
        <is>
          <t>T6.0</t>
        </is>
      </c>
      <c r="E489" t="n">
        <v>6</v>
      </c>
      <c r="F489" t="n">
        <v>0</v>
      </c>
      <c r="G489" t="n">
        <v>8</v>
      </c>
      <c r="H489" s="22" t="n"/>
      <c r="I489" s="22" t="n"/>
      <c r="J489" s="22" t="n"/>
      <c r="K489" s="22" t="n"/>
      <c r="L489" s="22" t="n"/>
      <c r="M489" s="22" t="n"/>
      <c r="N489" s="22" t="n"/>
      <c r="O489" s="23">
        <f>IF(COUNT(H489:N489)=0,"",MAX(H489:N489))</f>
        <v/>
      </c>
      <c r="P489" s="24">
        <f>IF(O489="","",INDEX($H$3:$N$3,MATCH(O489,H489:N489,0)))</f>
        <v/>
      </c>
      <c r="Q489" s="23">
        <f>IF(Refino!$L$15="","",G489*Refino!$L$15*(1-RetCraft))</f>
        <v/>
      </c>
      <c r="R489" s="25">
        <f>IF(Artefatos!$L$55="","",Artefatos!$L$55*(1+TaxaCompra))</f>
        <v/>
      </c>
      <c r="S489">
        <f>IF(Artefatos!$M$55="","",Artefatos!$M$55)</f>
        <v/>
      </c>
      <c r="T489" s="25">
        <f>G489*Refino!$D$15+Artefatos!$F$55</f>
        <v/>
      </c>
      <c r="U489" s="25">
        <f>T489*0.1125*FeeCraft/100</f>
        <v/>
      </c>
      <c r="V489" s="23">
        <f>IF(OR(Q489="",R489=""),"",Q489+R489+U489)</f>
        <v/>
      </c>
      <c r="W489" s="23">
        <f>IF(O489="","",O489*(1-TaxaVenda))</f>
        <v/>
      </c>
      <c r="X489" s="26">
        <f>IF(OR(V489="",W489=""),"",W489-V489)</f>
        <v/>
      </c>
      <c r="Y489" s="27">
        <f>IF(X489="","",X489/V489)</f>
        <v/>
      </c>
    </row>
    <row r="490">
      <c r="A490" t="inlineStr">
        <is>
          <t>Duskweaver|Elmo|T6.1</t>
        </is>
      </c>
      <c r="B490" t="inlineStr">
        <is>
          <t>Duskweaver</t>
        </is>
      </c>
      <c r="C490" t="inlineStr">
        <is>
          <t>Elmo</t>
        </is>
      </c>
      <c r="D490" t="inlineStr">
        <is>
          <t>T6.1</t>
        </is>
      </c>
      <c r="E490" t="n">
        <v>6</v>
      </c>
      <c r="F490" t="n">
        <v>1</v>
      </c>
      <c r="G490" t="n">
        <v>8</v>
      </c>
      <c r="H490" s="22" t="n"/>
      <c r="I490" s="22" t="n"/>
      <c r="J490" s="22" t="n"/>
      <c r="K490" s="22" t="n"/>
      <c r="L490" s="22" t="n"/>
      <c r="M490" s="22" t="n"/>
      <c r="N490" s="22" t="n"/>
      <c r="O490" s="23">
        <f>IF(COUNT(H490:N490)=0,"",MAX(H490:N490))</f>
        <v/>
      </c>
      <c r="P490" s="24">
        <f>IF(O490="","",INDEX($H$3:$N$3,MATCH(O490,H490:N490,0)))</f>
        <v/>
      </c>
      <c r="Q490" s="23">
        <f>IF(Refino!$L$16="","",G490*Refino!$L$16*(1-RetCraft))</f>
        <v/>
      </c>
      <c r="R490" s="25">
        <f>IF(Artefatos!$L$55="","",Artefatos!$L$55*(1+TaxaCompra))</f>
        <v/>
      </c>
      <c r="S490">
        <f>IF(Artefatos!$M$55="","",Artefatos!$M$55)</f>
        <v/>
      </c>
      <c r="T490" s="25">
        <f>G490*Refino!$D$16+Artefatos!$F$55</f>
        <v/>
      </c>
      <c r="U490" s="25">
        <f>T490*0.1125*FeeCraft/100</f>
        <v/>
      </c>
      <c r="V490" s="23">
        <f>IF(OR(Q490="",R490=""),"",Q490+R490+U490)</f>
        <v/>
      </c>
      <c r="W490" s="23">
        <f>IF(O490="","",O490*(1-TaxaVenda))</f>
        <v/>
      </c>
      <c r="X490" s="26">
        <f>IF(OR(V490="",W490=""),"",W490-V490)</f>
        <v/>
      </c>
      <c r="Y490" s="27">
        <f>IF(X490="","",X490/V490)</f>
        <v/>
      </c>
    </row>
    <row r="491">
      <c r="A491" t="inlineStr">
        <is>
          <t>Duskweaver|Elmo|T6.2</t>
        </is>
      </c>
      <c r="B491" t="inlineStr">
        <is>
          <t>Duskweaver</t>
        </is>
      </c>
      <c r="C491" t="inlineStr">
        <is>
          <t>Elmo</t>
        </is>
      </c>
      <c r="D491" t="inlineStr">
        <is>
          <t>T6.2</t>
        </is>
      </c>
      <c r="E491" t="n">
        <v>6</v>
      </c>
      <c r="F491" t="n">
        <v>2</v>
      </c>
      <c r="G491" t="n">
        <v>8</v>
      </c>
      <c r="H491" s="22" t="n"/>
      <c r="I491" s="22" t="n"/>
      <c r="J491" s="22" t="n"/>
      <c r="K491" s="22" t="n"/>
      <c r="L491" s="22" t="n"/>
      <c r="M491" s="22" t="n"/>
      <c r="N491" s="22" t="n"/>
      <c r="O491" s="23">
        <f>IF(COUNT(H491:N491)=0,"",MAX(H491:N491))</f>
        <v/>
      </c>
      <c r="P491" s="24">
        <f>IF(O491="","",INDEX($H$3:$N$3,MATCH(O491,H491:N491,0)))</f>
        <v/>
      </c>
      <c r="Q491" s="23">
        <f>IF(Refino!$L$17="","",G491*Refino!$L$17*(1-RetCraft))</f>
        <v/>
      </c>
      <c r="R491" s="25">
        <f>IF(Artefatos!$L$55="","",Artefatos!$L$55*(1+TaxaCompra))</f>
        <v/>
      </c>
      <c r="S491">
        <f>IF(Artefatos!$M$55="","",Artefatos!$M$55)</f>
        <v/>
      </c>
      <c r="T491" s="25">
        <f>G491*Refino!$D$17+Artefatos!$F$55</f>
        <v/>
      </c>
      <c r="U491" s="25">
        <f>T491*0.1125*FeeCraft/100</f>
        <v/>
      </c>
      <c r="V491" s="23">
        <f>IF(OR(Q491="",R491=""),"",Q491+R491+U491)</f>
        <v/>
      </c>
      <c r="W491" s="23">
        <f>IF(O491="","",O491*(1-TaxaVenda))</f>
        <v/>
      </c>
      <c r="X491" s="26">
        <f>IF(OR(V491="",W491=""),"",W491-V491)</f>
        <v/>
      </c>
      <c r="Y491" s="27">
        <f>IF(X491="","",X491/V491)</f>
        <v/>
      </c>
    </row>
    <row r="492">
      <c r="A492" t="inlineStr">
        <is>
          <t>Duskweaver|Elmo|T6.3</t>
        </is>
      </c>
      <c r="B492" t="inlineStr">
        <is>
          <t>Duskweaver</t>
        </is>
      </c>
      <c r="C492" t="inlineStr">
        <is>
          <t>Elmo</t>
        </is>
      </c>
      <c r="D492" t="inlineStr">
        <is>
          <t>T6.3</t>
        </is>
      </c>
      <c r="E492" t="n">
        <v>6</v>
      </c>
      <c r="F492" t="n">
        <v>3</v>
      </c>
      <c r="G492" t="n">
        <v>8</v>
      </c>
      <c r="H492" s="22" t="n"/>
      <c r="I492" s="22" t="n"/>
      <c r="J492" s="22" t="n"/>
      <c r="K492" s="22" t="n"/>
      <c r="L492" s="22" t="n"/>
      <c r="M492" s="22" t="n"/>
      <c r="N492" s="22" t="n"/>
      <c r="O492" s="23">
        <f>IF(COUNT(H492:N492)=0,"",MAX(H492:N492))</f>
        <v/>
      </c>
      <c r="P492" s="24">
        <f>IF(O492="","",INDEX($H$3:$N$3,MATCH(O492,H492:N492,0)))</f>
        <v/>
      </c>
      <c r="Q492" s="23">
        <f>IF(Refino!$L$18="","",G492*Refino!$L$18*(1-RetCraft))</f>
        <v/>
      </c>
      <c r="R492" s="25">
        <f>IF(Artefatos!$L$55="","",Artefatos!$L$55*(1+TaxaCompra))</f>
        <v/>
      </c>
      <c r="S492">
        <f>IF(Artefatos!$M$55="","",Artefatos!$M$55)</f>
        <v/>
      </c>
      <c r="T492" s="25">
        <f>G492*Refino!$D$18+Artefatos!$F$55</f>
        <v/>
      </c>
      <c r="U492" s="25">
        <f>T492*0.1125*FeeCraft/100</f>
        <v/>
      </c>
      <c r="V492" s="23">
        <f>IF(OR(Q492="",R492=""),"",Q492+R492+U492)</f>
        <v/>
      </c>
      <c r="W492" s="23">
        <f>IF(O492="","",O492*(1-TaxaVenda))</f>
        <v/>
      </c>
      <c r="X492" s="26">
        <f>IF(OR(V492="",W492=""),"",W492-V492)</f>
        <v/>
      </c>
      <c r="Y492" s="27">
        <f>IF(X492="","",X492/V492)</f>
        <v/>
      </c>
    </row>
    <row r="493">
      <c r="A493" t="inlineStr">
        <is>
          <t>Duskweaver|Elmo|T6.4</t>
        </is>
      </c>
      <c r="B493" t="inlineStr">
        <is>
          <t>Duskweaver</t>
        </is>
      </c>
      <c r="C493" t="inlineStr">
        <is>
          <t>Elmo</t>
        </is>
      </c>
      <c r="D493" t="inlineStr">
        <is>
          <t>T6.4</t>
        </is>
      </c>
      <c r="E493" t="n">
        <v>6</v>
      </c>
      <c r="F493" t="n">
        <v>4</v>
      </c>
      <c r="G493" t="n">
        <v>8</v>
      </c>
      <c r="H493" s="22" t="n"/>
      <c r="I493" s="22" t="n"/>
      <c r="J493" s="22" t="n"/>
      <c r="K493" s="22" t="n"/>
      <c r="L493" s="22" t="n"/>
      <c r="M493" s="22" t="n"/>
      <c r="N493" s="22" t="n"/>
      <c r="O493" s="23">
        <f>IF(COUNT(H493:N493)=0,"",MAX(H493:N493))</f>
        <v/>
      </c>
      <c r="P493" s="24">
        <f>IF(O493="","",INDEX($H$3:$N$3,MATCH(O493,H493:N493,0)))</f>
        <v/>
      </c>
      <c r="Q493" s="23">
        <f>IF(Refino!$L$19="","",G493*Refino!$L$19*(1-RetCraft))</f>
        <v/>
      </c>
      <c r="R493" s="25">
        <f>IF(Artefatos!$L$55="","",Artefatos!$L$55*(1+TaxaCompra))</f>
        <v/>
      </c>
      <c r="S493">
        <f>IF(Artefatos!$M$55="","",Artefatos!$M$55)</f>
        <v/>
      </c>
      <c r="T493" s="25">
        <f>G493*Refino!$D$19+Artefatos!$F$55</f>
        <v/>
      </c>
      <c r="U493" s="25">
        <f>T493*0.1125*FeeCraft/100</f>
        <v/>
      </c>
      <c r="V493" s="23">
        <f>IF(OR(Q493="",R493=""),"",Q493+R493+U493)</f>
        <v/>
      </c>
      <c r="W493" s="23">
        <f>IF(O493="","",O493*(1-TaxaVenda))</f>
        <v/>
      </c>
      <c r="X493" s="26">
        <f>IF(OR(V493="",W493=""),"",W493-V493)</f>
        <v/>
      </c>
      <c r="Y493" s="27">
        <f>IF(X493="","",X493/V493)</f>
        <v/>
      </c>
    </row>
    <row r="494">
      <c r="A494" t="inlineStr">
        <is>
          <t>Duskweaver|Elmo|T7.0</t>
        </is>
      </c>
      <c r="B494" t="inlineStr">
        <is>
          <t>Duskweaver</t>
        </is>
      </c>
      <c r="C494" t="inlineStr">
        <is>
          <t>Elmo</t>
        </is>
      </c>
      <c r="D494" t="inlineStr">
        <is>
          <t>T7.0</t>
        </is>
      </c>
      <c r="E494" t="n">
        <v>7</v>
      </c>
      <c r="F494" t="n">
        <v>0</v>
      </c>
      <c r="G494" t="n">
        <v>8</v>
      </c>
      <c r="H494" s="22" t="n"/>
      <c r="I494" s="22" t="n"/>
      <c r="J494" s="22" t="n"/>
      <c r="K494" s="22" t="n"/>
      <c r="L494" s="22" t="n"/>
      <c r="M494" s="22" t="n"/>
      <c r="N494" s="22" t="n"/>
      <c r="O494" s="23">
        <f>IF(COUNT(H494:N494)=0,"",MAX(H494:N494))</f>
        <v/>
      </c>
      <c r="P494" s="24">
        <f>IF(O494="","",INDEX($H$3:$N$3,MATCH(O494,H494:N494,0)))</f>
        <v/>
      </c>
      <c r="Q494" s="23">
        <f>IF(Refino!$L$20="","",G494*Refino!$L$20*(1-RetCraft))</f>
        <v/>
      </c>
      <c r="R494" s="25">
        <f>IF(Artefatos!$L$56="","",Artefatos!$L$56*(1+TaxaCompra))</f>
        <v/>
      </c>
      <c r="S494">
        <f>IF(Artefatos!$M$56="","",Artefatos!$M$56)</f>
        <v/>
      </c>
      <c r="T494" s="25">
        <f>G494*Refino!$D$20+Artefatos!$F$56</f>
        <v/>
      </c>
      <c r="U494" s="25">
        <f>T494*0.1125*FeeCraft/100</f>
        <v/>
      </c>
      <c r="V494" s="23">
        <f>IF(OR(Q494="",R494=""),"",Q494+R494+U494)</f>
        <v/>
      </c>
      <c r="W494" s="23">
        <f>IF(O494="","",O494*(1-TaxaVenda))</f>
        <v/>
      </c>
      <c r="X494" s="26">
        <f>IF(OR(V494="",W494=""),"",W494-V494)</f>
        <v/>
      </c>
      <c r="Y494" s="27">
        <f>IF(X494="","",X494/V494)</f>
        <v/>
      </c>
    </row>
    <row r="495">
      <c r="A495" t="inlineStr">
        <is>
          <t>Duskweaver|Elmo|T7.1</t>
        </is>
      </c>
      <c r="B495" t="inlineStr">
        <is>
          <t>Duskweaver</t>
        </is>
      </c>
      <c r="C495" t="inlineStr">
        <is>
          <t>Elmo</t>
        </is>
      </c>
      <c r="D495" t="inlineStr">
        <is>
          <t>T7.1</t>
        </is>
      </c>
      <c r="E495" t="n">
        <v>7</v>
      </c>
      <c r="F495" t="n">
        <v>1</v>
      </c>
      <c r="G495" t="n">
        <v>8</v>
      </c>
      <c r="H495" s="22" t="n"/>
      <c r="I495" s="22" t="n"/>
      <c r="J495" s="22" t="n"/>
      <c r="K495" s="22" t="n"/>
      <c r="L495" s="22" t="n"/>
      <c r="M495" s="22" t="n"/>
      <c r="N495" s="22" t="n"/>
      <c r="O495" s="23">
        <f>IF(COUNT(H495:N495)=0,"",MAX(H495:N495))</f>
        <v/>
      </c>
      <c r="P495" s="24">
        <f>IF(O495="","",INDEX($H$3:$N$3,MATCH(O495,H495:N495,0)))</f>
        <v/>
      </c>
      <c r="Q495" s="23">
        <f>IF(Refino!$L$21="","",G495*Refino!$L$21*(1-RetCraft))</f>
        <v/>
      </c>
      <c r="R495" s="25">
        <f>IF(Artefatos!$L$56="","",Artefatos!$L$56*(1+TaxaCompra))</f>
        <v/>
      </c>
      <c r="S495">
        <f>IF(Artefatos!$M$56="","",Artefatos!$M$56)</f>
        <v/>
      </c>
      <c r="T495" s="25">
        <f>G495*Refino!$D$21+Artefatos!$F$56</f>
        <v/>
      </c>
      <c r="U495" s="25">
        <f>T495*0.1125*FeeCraft/100</f>
        <v/>
      </c>
      <c r="V495" s="23">
        <f>IF(OR(Q495="",R495=""),"",Q495+R495+U495)</f>
        <v/>
      </c>
      <c r="W495" s="23">
        <f>IF(O495="","",O495*(1-TaxaVenda))</f>
        <v/>
      </c>
      <c r="X495" s="26">
        <f>IF(OR(V495="",W495=""),"",W495-V495)</f>
        <v/>
      </c>
      <c r="Y495" s="27">
        <f>IF(X495="","",X495/V495)</f>
        <v/>
      </c>
    </row>
    <row r="496">
      <c r="A496" t="inlineStr">
        <is>
          <t>Duskweaver|Elmo|T7.2</t>
        </is>
      </c>
      <c r="B496" t="inlineStr">
        <is>
          <t>Duskweaver</t>
        </is>
      </c>
      <c r="C496" t="inlineStr">
        <is>
          <t>Elmo</t>
        </is>
      </c>
      <c r="D496" t="inlineStr">
        <is>
          <t>T7.2</t>
        </is>
      </c>
      <c r="E496" t="n">
        <v>7</v>
      </c>
      <c r="F496" t="n">
        <v>2</v>
      </c>
      <c r="G496" t="n">
        <v>8</v>
      </c>
      <c r="H496" s="22" t="n"/>
      <c r="I496" s="22" t="n"/>
      <c r="J496" s="22" t="n"/>
      <c r="K496" s="22" t="n"/>
      <c r="L496" s="22" t="n"/>
      <c r="M496" s="22" t="n"/>
      <c r="N496" s="22" t="n"/>
      <c r="O496" s="23">
        <f>IF(COUNT(H496:N496)=0,"",MAX(H496:N496))</f>
        <v/>
      </c>
      <c r="P496" s="24">
        <f>IF(O496="","",INDEX($H$3:$N$3,MATCH(O496,H496:N496,0)))</f>
        <v/>
      </c>
      <c r="Q496" s="23">
        <f>IF(Refino!$L$22="","",G496*Refino!$L$22*(1-RetCraft))</f>
        <v/>
      </c>
      <c r="R496" s="25">
        <f>IF(Artefatos!$L$56="","",Artefatos!$L$56*(1+TaxaCompra))</f>
        <v/>
      </c>
      <c r="S496">
        <f>IF(Artefatos!$M$56="","",Artefatos!$M$56)</f>
        <v/>
      </c>
      <c r="T496" s="25">
        <f>G496*Refino!$D$22+Artefatos!$F$56</f>
        <v/>
      </c>
      <c r="U496" s="25">
        <f>T496*0.1125*FeeCraft/100</f>
        <v/>
      </c>
      <c r="V496" s="23">
        <f>IF(OR(Q496="",R496=""),"",Q496+R496+U496)</f>
        <v/>
      </c>
      <c r="W496" s="23">
        <f>IF(O496="","",O496*(1-TaxaVenda))</f>
        <v/>
      </c>
      <c r="X496" s="26">
        <f>IF(OR(V496="",W496=""),"",W496-V496)</f>
        <v/>
      </c>
      <c r="Y496" s="27">
        <f>IF(X496="","",X496/V496)</f>
        <v/>
      </c>
    </row>
    <row r="497">
      <c r="A497" t="inlineStr">
        <is>
          <t>Duskweaver|Elmo|T7.3</t>
        </is>
      </c>
      <c r="B497" t="inlineStr">
        <is>
          <t>Duskweaver</t>
        </is>
      </c>
      <c r="C497" t="inlineStr">
        <is>
          <t>Elmo</t>
        </is>
      </c>
      <c r="D497" t="inlineStr">
        <is>
          <t>T7.3</t>
        </is>
      </c>
      <c r="E497" t="n">
        <v>7</v>
      </c>
      <c r="F497" t="n">
        <v>3</v>
      </c>
      <c r="G497" t="n">
        <v>8</v>
      </c>
      <c r="H497" s="22" t="n"/>
      <c r="I497" s="22" t="n"/>
      <c r="J497" s="22" t="n"/>
      <c r="K497" s="22" t="n"/>
      <c r="L497" s="22" t="n"/>
      <c r="M497" s="22" t="n"/>
      <c r="N497" s="22" t="n"/>
      <c r="O497" s="23">
        <f>IF(COUNT(H497:N497)=0,"",MAX(H497:N497))</f>
        <v/>
      </c>
      <c r="P497" s="24">
        <f>IF(O497="","",INDEX($H$3:$N$3,MATCH(O497,H497:N497,0)))</f>
        <v/>
      </c>
      <c r="Q497" s="23">
        <f>IF(Refino!$L$23="","",G497*Refino!$L$23*(1-RetCraft))</f>
        <v/>
      </c>
      <c r="R497" s="25">
        <f>IF(Artefatos!$L$56="","",Artefatos!$L$56*(1+TaxaCompra))</f>
        <v/>
      </c>
      <c r="S497">
        <f>IF(Artefatos!$M$56="","",Artefatos!$M$56)</f>
        <v/>
      </c>
      <c r="T497" s="25">
        <f>G497*Refino!$D$23+Artefatos!$F$56</f>
        <v/>
      </c>
      <c r="U497" s="25">
        <f>T497*0.1125*FeeCraft/100</f>
        <v/>
      </c>
      <c r="V497" s="23">
        <f>IF(OR(Q497="",R497=""),"",Q497+R497+U497)</f>
        <v/>
      </c>
      <c r="W497" s="23">
        <f>IF(O497="","",O497*(1-TaxaVenda))</f>
        <v/>
      </c>
      <c r="X497" s="26">
        <f>IF(OR(V497="",W497=""),"",W497-V497)</f>
        <v/>
      </c>
      <c r="Y497" s="27">
        <f>IF(X497="","",X497/V497)</f>
        <v/>
      </c>
    </row>
    <row r="498">
      <c r="A498" t="inlineStr">
        <is>
          <t>Duskweaver|Elmo|T7.4</t>
        </is>
      </c>
      <c r="B498" t="inlineStr">
        <is>
          <t>Duskweaver</t>
        </is>
      </c>
      <c r="C498" t="inlineStr">
        <is>
          <t>Elmo</t>
        </is>
      </c>
      <c r="D498" t="inlineStr">
        <is>
          <t>T7.4</t>
        </is>
      </c>
      <c r="E498" t="n">
        <v>7</v>
      </c>
      <c r="F498" t="n">
        <v>4</v>
      </c>
      <c r="G498" t="n">
        <v>8</v>
      </c>
      <c r="H498" s="22" t="n"/>
      <c r="I498" s="22" t="n"/>
      <c r="J498" s="22" t="n"/>
      <c r="K498" s="22" t="n"/>
      <c r="L498" s="22" t="n"/>
      <c r="M498" s="22" t="n"/>
      <c r="N498" s="22" t="n"/>
      <c r="O498" s="23">
        <f>IF(COUNT(H498:N498)=0,"",MAX(H498:N498))</f>
        <v/>
      </c>
      <c r="P498" s="24">
        <f>IF(O498="","",INDEX($H$3:$N$3,MATCH(O498,H498:N498,0)))</f>
        <v/>
      </c>
      <c r="Q498" s="23">
        <f>IF(Refino!$L$24="","",G498*Refino!$L$24*(1-RetCraft))</f>
        <v/>
      </c>
      <c r="R498" s="25">
        <f>IF(Artefatos!$L$56="","",Artefatos!$L$56*(1+TaxaCompra))</f>
        <v/>
      </c>
      <c r="S498">
        <f>IF(Artefatos!$M$56="","",Artefatos!$M$56)</f>
        <v/>
      </c>
      <c r="T498" s="25">
        <f>G498*Refino!$D$24+Artefatos!$F$56</f>
        <v/>
      </c>
      <c r="U498" s="25">
        <f>T498*0.1125*FeeCraft/100</f>
        <v/>
      </c>
      <c r="V498" s="23">
        <f>IF(OR(Q498="",R498=""),"",Q498+R498+U498)</f>
        <v/>
      </c>
      <c r="W498" s="23">
        <f>IF(O498="","",O498*(1-TaxaVenda))</f>
        <v/>
      </c>
      <c r="X498" s="26">
        <f>IF(OR(V498="",W498=""),"",W498-V498)</f>
        <v/>
      </c>
      <c r="Y498" s="27">
        <f>IF(X498="","",X498/V498)</f>
        <v/>
      </c>
    </row>
    <row r="499">
      <c r="A499" t="inlineStr">
        <is>
          <t>Duskweaver|Elmo|T8.0</t>
        </is>
      </c>
      <c r="B499" t="inlineStr">
        <is>
          <t>Duskweaver</t>
        </is>
      </c>
      <c r="C499" t="inlineStr">
        <is>
          <t>Elmo</t>
        </is>
      </c>
      <c r="D499" t="inlineStr">
        <is>
          <t>T8.0</t>
        </is>
      </c>
      <c r="E499" t="n">
        <v>8</v>
      </c>
      <c r="F499" t="n">
        <v>0</v>
      </c>
      <c r="G499" t="n">
        <v>8</v>
      </c>
      <c r="H499" s="22" t="n"/>
      <c r="I499" s="22" t="n"/>
      <c r="J499" s="22" t="n"/>
      <c r="K499" s="22" t="n"/>
      <c r="L499" s="22" t="n"/>
      <c r="M499" s="22" t="n"/>
      <c r="N499" s="22" t="n"/>
      <c r="O499" s="23">
        <f>IF(COUNT(H499:N499)=0,"",MAX(H499:N499))</f>
        <v/>
      </c>
      <c r="P499" s="24">
        <f>IF(O499="","",INDEX($H$3:$N$3,MATCH(O499,H499:N499,0)))</f>
        <v/>
      </c>
      <c r="Q499" s="23">
        <f>IF(Refino!$L$25="","",G499*Refino!$L$25*(1-RetCraft))</f>
        <v/>
      </c>
      <c r="R499" s="25">
        <f>IF(Artefatos!$L$57="","",Artefatos!$L$57*(1+TaxaCompra))</f>
        <v/>
      </c>
      <c r="S499">
        <f>IF(Artefatos!$M$57="","",Artefatos!$M$57)</f>
        <v/>
      </c>
      <c r="T499" s="25">
        <f>G499*Refino!$D$25+Artefatos!$F$57</f>
        <v/>
      </c>
      <c r="U499" s="25">
        <f>T499*0.1125*FeeCraft/100</f>
        <v/>
      </c>
      <c r="V499" s="23">
        <f>IF(OR(Q499="",R499=""),"",Q499+R499+U499)</f>
        <v/>
      </c>
      <c r="W499" s="23">
        <f>IF(O499="","",O499*(1-TaxaVenda))</f>
        <v/>
      </c>
      <c r="X499" s="26">
        <f>IF(OR(V499="",W499=""),"",W499-V499)</f>
        <v/>
      </c>
      <c r="Y499" s="27">
        <f>IF(X499="","",X499/V499)</f>
        <v/>
      </c>
    </row>
    <row r="500">
      <c r="A500" t="inlineStr">
        <is>
          <t>Duskweaver|Elmo|T8.1</t>
        </is>
      </c>
      <c r="B500" t="inlineStr">
        <is>
          <t>Duskweaver</t>
        </is>
      </c>
      <c r="C500" t="inlineStr">
        <is>
          <t>Elmo</t>
        </is>
      </c>
      <c r="D500" t="inlineStr">
        <is>
          <t>T8.1</t>
        </is>
      </c>
      <c r="E500" t="n">
        <v>8</v>
      </c>
      <c r="F500" t="n">
        <v>1</v>
      </c>
      <c r="G500" t="n">
        <v>8</v>
      </c>
      <c r="H500" s="22" t="n"/>
      <c r="I500" s="22" t="n"/>
      <c r="J500" s="22" t="n"/>
      <c r="K500" s="22" t="n"/>
      <c r="L500" s="22" t="n"/>
      <c r="M500" s="22" t="n"/>
      <c r="N500" s="22" t="n"/>
      <c r="O500" s="23">
        <f>IF(COUNT(H500:N500)=0,"",MAX(H500:N500))</f>
        <v/>
      </c>
      <c r="P500" s="24">
        <f>IF(O500="","",INDEX($H$3:$N$3,MATCH(O500,H500:N500,0)))</f>
        <v/>
      </c>
      <c r="Q500" s="23">
        <f>IF(Refino!$L$26="","",G500*Refino!$L$26*(1-RetCraft))</f>
        <v/>
      </c>
      <c r="R500" s="25">
        <f>IF(Artefatos!$L$57="","",Artefatos!$L$57*(1+TaxaCompra))</f>
        <v/>
      </c>
      <c r="S500">
        <f>IF(Artefatos!$M$57="","",Artefatos!$M$57)</f>
        <v/>
      </c>
      <c r="T500" s="25">
        <f>G500*Refino!$D$26+Artefatos!$F$57</f>
        <v/>
      </c>
      <c r="U500" s="25">
        <f>T500*0.1125*FeeCraft/100</f>
        <v/>
      </c>
      <c r="V500" s="23">
        <f>IF(OR(Q500="",R500=""),"",Q500+R500+U500)</f>
        <v/>
      </c>
      <c r="W500" s="23">
        <f>IF(O500="","",O500*(1-TaxaVenda))</f>
        <v/>
      </c>
      <c r="X500" s="26">
        <f>IF(OR(V500="",W500=""),"",W500-V500)</f>
        <v/>
      </c>
      <c r="Y500" s="27">
        <f>IF(X500="","",X500/V500)</f>
        <v/>
      </c>
    </row>
    <row r="501">
      <c r="A501" t="inlineStr">
        <is>
          <t>Duskweaver|Elmo|T8.2</t>
        </is>
      </c>
      <c r="B501" t="inlineStr">
        <is>
          <t>Duskweaver</t>
        </is>
      </c>
      <c r="C501" t="inlineStr">
        <is>
          <t>Elmo</t>
        </is>
      </c>
      <c r="D501" t="inlineStr">
        <is>
          <t>T8.2</t>
        </is>
      </c>
      <c r="E501" t="n">
        <v>8</v>
      </c>
      <c r="F501" t="n">
        <v>2</v>
      </c>
      <c r="G501" t="n">
        <v>8</v>
      </c>
      <c r="H501" s="22" t="n"/>
      <c r="I501" s="22" t="n"/>
      <c r="J501" s="22" t="n"/>
      <c r="K501" s="22" t="n"/>
      <c r="L501" s="22" t="n"/>
      <c r="M501" s="22" t="n"/>
      <c r="N501" s="22" t="n"/>
      <c r="O501" s="23">
        <f>IF(COUNT(H501:N501)=0,"",MAX(H501:N501))</f>
        <v/>
      </c>
      <c r="P501" s="24">
        <f>IF(O501="","",INDEX($H$3:$N$3,MATCH(O501,H501:N501,0)))</f>
        <v/>
      </c>
      <c r="Q501" s="23">
        <f>IF(Refino!$L$27="","",G501*Refino!$L$27*(1-RetCraft))</f>
        <v/>
      </c>
      <c r="R501" s="25">
        <f>IF(Artefatos!$L$57="","",Artefatos!$L$57*(1+TaxaCompra))</f>
        <v/>
      </c>
      <c r="S501">
        <f>IF(Artefatos!$M$57="","",Artefatos!$M$57)</f>
        <v/>
      </c>
      <c r="T501" s="25">
        <f>G501*Refino!$D$27+Artefatos!$F$57</f>
        <v/>
      </c>
      <c r="U501" s="25">
        <f>T501*0.1125*FeeCraft/100</f>
        <v/>
      </c>
      <c r="V501" s="23">
        <f>IF(OR(Q501="",R501=""),"",Q501+R501+U501)</f>
        <v/>
      </c>
      <c r="W501" s="23">
        <f>IF(O501="","",O501*(1-TaxaVenda))</f>
        <v/>
      </c>
      <c r="X501" s="26">
        <f>IF(OR(V501="",W501=""),"",W501-V501)</f>
        <v/>
      </c>
      <c r="Y501" s="27">
        <f>IF(X501="","",X501/V501)</f>
        <v/>
      </c>
    </row>
    <row r="502">
      <c r="A502" t="inlineStr">
        <is>
          <t>Duskweaver|Elmo|T8.3</t>
        </is>
      </c>
      <c r="B502" t="inlineStr">
        <is>
          <t>Duskweaver</t>
        </is>
      </c>
      <c r="C502" t="inlineStr">
        <is>
          <t>Elmo</t>
        </is>
      </c>
      <c r="D502" t="inlineStr">
        <is>
          <t>T8.3</t>
        </is>
      </c>
      <c r="E502" t="n">
        <v>8</v>
      </c>
      <c r="F502" t="n">
        <v>3</v>
      </c>
      <c r="G502" t="n">
        <v>8</v>
      </c>
      <c r="H502" s="22" t="n"/>
      <c r="I502" s="22" t="n"/>
      <c r="J502" s="22" t="n"/>
      <c r="K502" s="22" t="n"/>
      <c r="L502" s="22" t="n"/>
      <c r="M502" s="22" t="n"/>
      <c r="N502" s="22" t="n"/>
      <c r="O502" s="23">
        <f>IF(COUNT(H502:N502)=0,"",MAX(H502:N502))</f>
        <v/>
      </c>
      <c r="P502" s="24">
        <f>IF(O502="","",INDEX($H$3:$N$3,MATCH(O502,H502:N502,0)))</f>
        <v/>
      </c>
      <c r="Q502" s="23">
        <f>IF(Refino!$L$28="","",G502*Refino!$L$28*(1-RetCraft))</f>
        <v/>
      </c>
      <c r="R502" s="25">
        <f>IF(Artefatos!$L$57="","",Artefatos!$L$57*(1+TaxaCompra))</f>
        <v/>
      </c>
      <c r="S502">
        <f>IF(Artefatos!$M$57="","",Artefatos!$M$57)</f>
        <v/>
      </c>
      <c r="T502" s="25">
        <f>G502*Refino!$D$28+Artefatos!$F$57</f>
        <v/>
      </c>
      <c r="U502" s="25">
        <f>T502*0.1125*FeeCraft/100</f>
        <v/>
      </c>
      <c r="V502" s="23">
        <f>IF(OR(Q502="",R502=""),"",Q502+R502+U502)</f>
        <v/>
      </c>
      <c r="W502" s="23">
        <f>IF(O502="","",O502*(1-TaxaVenda))</f>
        <v/>
      </c>
      <c r="X502" s="26">
        <f>IF(OR(V502="",W502=""),"",W502-V502)</f>
        <v/>
      </c>
      <c r="Y502" s="27">
        <f>IF(X502="","",X502/V502)</f>
        <v/>
      </c>
    </row>
    <row r="503">
      <c r="A503" t="inlineStr">
        <is>
          <t>Duskweaver|Elmo|T8.4</t>
        </is>
      </c>
      <c r="B503" t="inlineStr">
        <is>
          <t>Duskweaver</t>
        </is>
      </c>
      <c r="C503" t="inlineStr">
        <is>
          <t>Elmo</t>
        </is>
      </c>
      <c r="D503" t="inlineStr">
        <is>
          <t>T8.4</t>
        </is>
      </c>
      <c r="E503" t="n">
        <v>8</v>
      </c>
      <c r="F503" t="n">
        <v>4</v>
      </c>
      <c r="G503" t="n">
        <v>8</v>
      </c>
      <c r="H503" s="22" t="n"/>
      <c r="I503" s="22" t="n"/>
      <c r="J503" s="22" t="n"/>
      <c r="K503" s="22" t="n"/>
      <c r="L503" s="22" t="n"/>
      <c r="M503" s="22" t="n"/>
      <c r="N503" s="22" t="n"/>
      <c r="O503" s="23">
        <f>IF(COUNT(H503:N503)=0,"",MAX(H503:N503))</f>
        <v/>
      </c>
      <c r="P503" s="24">
        <f>IF(O503="","",INDEX($H$3:$N$3,MATCH(O503,H503:N503,0)))</f>
        <v/>
      </c>
      <c r="Q503" s="23">
        <f>IF(Refino!$L$29="","",G503*Refino!$L$29*(1-RetCraft))</f>
        <v/>
      </c>
      <c r="R503" s="25">
        <f>IF(Artefatos!$L$57="","",Artefatos!$L$57*(1+TaxaCompra))</f>
        <v/>
      </c>
      <c r="S503">
        <f>IF(Artefatos!$M$57="","",Artefatos!$M$57)</f>
        <v/>
      </c>
      <c r="T503" s="25">
        <f>G503*Refino!$D$29+Artefatos!$F$57</f>
        <v/>
      </c>
      <c r="U503" s="25">
        <f>T503*0.1125*FeeCraft/100</f>
        <v/>
      </c>
      <c r="V503" s="23">
        <f>IF(OR(Q503="",R503=""),"",Q503+R503+U503)</f>
        <v/>
      </c>
      <c r="W503" s="23">
        <f>IF(O503="","",O503*(1-TaxaVenda))</f>
        <v/>
      </c>
      <c r="X503" s="26">
        <f>IF(OR(V503="",W503=""),"",W503-V503)</f>
        <v/>
      </c>
      <c r="Y503" s="27">
        <f>IF(X503="","",X503/V503)</f>
        <v/>
      </c>
    </row>
    <row r="504">
      <c r="A504" t="inlineStr">
        <is>
          <t>Duskweaver|Botas|T4.0</t>
        </is>
      </c>
      <c r="B504" t="inlineStr">
        <is>
          <t>Duskweaver</t>
        </is>
      </c>
      <c r="C504" t="inlineStr">
        <is>
          <t>Botas</t>
        </is>
      </c>
      <c r="D504" t="inlineStr">
        <is>
          <t>T4.0</t>
        </is>
      </c>
      <c r="E504" t="n">
        <v>4</v>
      </c>
      <c r="F504" t="n">
        <v>0</v>
      </c>
      <c r="G504" t="n">
        <v>8</v>
      </c>
      <c r="H504" s="22" t="n"/>
      <c r="I504" s="22" t="n"/>
      <c r="J504" s="22" t="n"/>
      <c r="K504" s="22" t="n"/>
      <c r="L504" s="22" t="n"/>
      <c r="M504" s="22" t="n"/>
      <c r="N504" s="22" t="n"/>
      <c r="O504" s="23">
        <f>IF(COUNT(H504:N504)=0,"",MAX(H504:N504))</f>
        <v/>
      </c>
      <c r="P504" s="24">
        <f>IF(O504="","",INDEX($H$3:$N$3,MATCH(O504,H504:N504,0)))</f>
        <v/>
      </c>
      <c r="Q504" s="23">
        <f>IF(Refino!$L$5="","",G504*Refino!$L$5*(1-RetCraft))</f>
        <v/>
      </c>
      <c r="R504" s="25">
        <f>IF(Artefatos!$L$58="","",Artefatos!$L$58*(1+TaxaCompra))</f>
        <v/>
      </c>
      <c r="S504">
        <f>IF(Artefatos!$M$58="","",Artefatos!$M$58)</f>
        <v/>
      </c>
      <c r="T504" s="25">
        <f>G504*Refino!$D$5+Artefatos!$F$58</f>
        <v/>
      </c>
      <c r="U504" s="25">
        <f>T504*0.1125*FeeCraft/100</f>
        <v/>
      </c>
      <c r="V504" s="23">
        <f>IF(OR(Q504="",R504=""),"",Q504+R504+U504)</f>
        <v/>
      </c>
      <c r="W504" s="23">
        <f>IF(O504="","",O504*(1-TaxaVenda))</f>
        <v/>
      </c>
      <c r="X504" s="26">
        <f>IF(OR(V504="",W504=""),"",W504-V504)</f>
        <v/>
      </c>
      <c r="Y504" s="27">
        <f>IF(X504="","",X504/V504)</f>
        <v/>
      </c>
    </row>
    <row r="505">
      <c r="A505" t="inlineStr">
        <is>
          <t>Duskweaver|Botas|T4.1</t>
        </is>
      </c>
      <c r="B505" t="inlineStr">
        <is>
          <t>Duskweaver</t>
        </is>
      </c>
      <c r="C505" t="inlineStr">
        <is>
          <t>Botas</t>
        </is>
      </c>
      <c r="D505" t="inlineStr">
        <is>
          <t>T4.1</t>
        </is>
      </c>
      <c r="E505" t="n">
        <v>4</v>
      </c>
      <c r="F505" t="n">
        <v>1</v>
      </c>
      <c r="G505" t="n">
        <v>8</v>
      </c>
      <c r="H505" s="22" t="n"/>
      <c r="I505" s="22" t="n"/>
      <c r="J505" s="22" t="n"/>
      <c r="K505" s="22" t="n"/>
      <c r="L505" s="22" t="n"/>
      <c r="M505" s="22" t="n"/>
      <c r="N505" s="22" t="n"/>
      <c r="O505" s="23">
        <f>IF(COUNT(H505:N505)=0,"",MAX(H505:N505))</f>
        <v/>
      </c>
      <c r="P505" s="24">
        <f>IF(O505="","",INDEX($H$3:$N$3,MATCH(O505,H505:N505,0)))</f>
        <v/>
      </c>
      <c r="Q505" s="23">
        <f>IF(Refino!$L$6="","",G505*Refino!$L$6*(1-RetCraft))</f>
        <v/>
      </c>
      <c r="R505" s="25">
        <f>IF(Artefatos!$L$58="","",Artefatos!$L$58*(1+TaxaCompra))</f>
        <v/>
      </c>
      <c r="S505">
        <f>IF(Artefatos!$M$58="","",Artefatos!$M$58)</f>
        <v/>
      </c>
      <c r="T505" s="25">
        <f>G505*Refino!$D$6+Artefatos!$F$58</f>
        <v/>
      </c>
      <c r="U505" s="25">
        <f>T505*0.1125*FeeCraft/100</f>
        <v/>
      </c>
      <c r="V505" s="23">
        <f>IF(OR(Q505="",R505=""),"",Q505+R505+U505)</f>
        <v/>
      </c>
      <c r="W505" s="23">
        <f>IF(O505="","",O505*(1-TaxaVenda))</f>
        <v/>
      </c>
      <c r="X505" s="26">
        <f>IF(OR(V505="",W505=""),"",W505-V505)</f>
        <v/>
      </c>
      <c r="Y505" s="27">
        <f>IF(X505="","",X505/V505)</f>
        <v/>
      </c>
    </row>
    <row r="506">
      <c r="A506" t="inlineStr">
        <is>
          <t>Duskweaver|Botas|T4.2</t>
        </is>
      </c>
      <c r="B506" t="inlineStr">
        <is>
          <t>Duskweaver</t>
        </is>
      </c>
      <c r="C506" t="inlineStr">
        <is>
          <t>Botas</t>
        </is>
      </c>
      <c r="D506" t="inlineStr">
        <is>
          <t>T4.2</t>
        </is>
      </c>
      <c r="E506" t="n">
        <v>4</v>
      </c>
      <c r="F506" t="n">
        <v>2</v>
      </c>
      <c r="G506" t="n">
        <v>8</v>
      </c>
      <c r="H506" s="22" t="n"/>
      <c r="I506" s="22" t="n"/>
      <c r="J506" s="22" t="n"/>
      <c r="K506" s="22" t="n"/>
      <c r="L506" s="22" t="n"/>
      <c r="M506" s="22" t="n"/>
      <c r="N506" s="22" t="n"/>
      <c r="O506" s="23">
        <f>IF(COUNT(H506:N506)=0,"",MAX(H506:N506))</f>
        <v/>
      </c>
      <c r="P506" s="24">
        <f>IF(O506="","",INDEX($H$3:$N$3,MATCH(O506,H506:N506,0)))</f>
        <v/>
      </c>
      <c r="Q506" s="23">
        <f>IF(Refino!$L$7="","",G506*Refino!$L$7*(1-RetCraft))</f>
        <v/>
      </c>
      <c r="R506" s="25">
        <f>IF(Artefatos!$L$58="","",Artefatos!$L$58*(1+TaxaCompra))</f>
        <v/>
      </c>
      <c r="S506">
        <f>IF(Artefatos!$M$58="","",Artefatos!$M$58)</f>
        <v/>
      </c>
      <c r="T506" s="25">
        <f>G506*Refino!$D$7+Artefatos!$F$58</f>
        <v/>
      </c>
      <c r="U506" s="25">
        <f>T506*0.1125*FeeCraft/100</f>
        <v/>
      </c>
      <c r="V506" s="23">
        <f>IF(OR(Q506="",R506=""),"",Q506+R506+U506)</f>
        <v/>
      </c>
      <c r="W506" s="23">
        <f>IF(O506="","",O506*(1-TaxaVenda))</f>
        <v/>
      </c>
      <c r="X506" s="26">
        <f>IF(OR(V506="",W506=""),"",W506-V506)</f>
        <v/>
      </c>
      <c r="Y506" s="27">
        <f>IF(X506="","",X506/V506)</f>
        <v/>
      </c>
    </row>
    <row r="507">
      <c r="A507" t="inlineStr">
        <is>
          <t>Duskweaver|Botas|T4.3</t>
        </is>
      </c>
      <c r="B507" t="inlineStr">
        <is>
          <t>Duskweaver</t>
        </is>
      </c>
      <c r="C507" t="inlineStr">
        <is>
          <t>Botas</t>
        </is>
      </c>
      <c r="D507" t="inlineStr">
        <is>
          <t>T4.3</t>
        </is>
      </c>
      <c r="E507" t="n">
        <v>4</v>
      </c>
      <c r="F507" t="n">
        <v>3</v>
      </c>
      <c r="G507" t="n">
        <v>8</v>
      </c>
      <c r="H507" s="22" t="n"/>
      <c r="I507" s="22" t="n"/>
      <c r="J507" s="22" t="n"/>
      <c r="K507" s="22" t="n"/>
      <c r="L507" s="22" t="n"/>
      <c r="M507" s="22" t="n"/>
      <c r="N507" s="22" t="n"/>
      <c r="O507" s="23">
        <f>IF(COUNT(H507:N507)=0,"",MAX(H507:N507))</f>
        <v/>
      </c>
      <c r="P507" s="24">
        <f>IF(O507="","",INDEX($H$3:$N$3,MATCH(O507,H507:N507,0)))</f>
        <v/>
      </c>
      <c r="Q507" s="23">
        <f>IF(Refino!$L$8="","",G507*Refino!$L$8*(1-RetCraft))</f>
        <v/>
      </c>
      <c r="R507" s="25">
        <f>IF(Artefatos!$L$58="","",Artefatos!$L$58*(1+TaxaCompra))</f>
        <v/>
      </c>
      <c r="S507">
        <f>IF(Artefatos!$M$58="","",Artefatos!$M$58)</f>
        <v/>
      </c>
      <c r="T507" s="25">
        <f>G507*Refino!$D$8+Artefatos!$F$58</f>
        <v/>
      </c>
      <c r="U507" s="25">
        <f>T507*0.1125*FeeCraft/100</f>
        <v/>
      </c>
      <c r="V507" s="23">
        <f>IF(OR(Q507="",R507=""),"",Q507+R507+U507)</f>
        <v/>
      </c>
      <c r="W507" s="23">
        <f>IF(O507="","",O507*(1-TaxaVenda))</f>
        <v/>
      </c>
      <c r="X507" s="26">
        <f>IF(OR(V507="",W507=""),"",W507-V507)</f>
        <v/>
      </c>
      <c r="Y507" s="27">
        <f>IF(X507="","",X507/V507)</f>
        <v/>
      </c>
    </row>
    <row r="508">
      <c r="A508" t="inlineStr">
        <is>
          <t>Duskweaver|Botas|T4.4</t>
        </is>
      </c>
      <c r="B508" t="inlineStr">
        <is>
          <t>Duskweaver</t>
        </is>
      </c>
      <c r="C508" t="inlineStr">
        <is>
          <t>Botas</t>
        </is>
      </c>
      <c r="D508" t="inlineStr">
        <is>
          <t>T4.4</t>
        </is>
      </c>
      <c r="E508" t="n">
        <v>4</v>
      </c>
      <c r="F508" t="n">
        <v>4</v>
      </c>
      <c r="G508" t="n">
        <v>8</v>
      </c>
      <c r="H508" s="22" t="n"/>
      <c r="I508" s="22" t="n"/>
      <c r="J508" s="22" t="n"/>
      <c r="K508" s="22" t="n"/>
      <c r="L508" s="22" t="n"/>
      <c r="M508" s="22" t="n"/>
      <c r="N508" s="22" t="n"/>
      <c r="O508" s="23">
        <f>IF(COUNT(H508:N508)=0,"",MAX(H508:N508))</f>
        <v/>
      </c>
      <c r="P508" s="24">
        <f>IF(O508="","",INDEX($H$3:$N$3,MATCH(O508,H508:N508,0)))</f>
        <v/>
      </c>
      <c r="Q508" s="23">
        <f>IF(Refino!$L$9="","",G508*Refino!$L$9*(1-RetCraft))</f>
        <v/>
      </c>
      <c r="R508" s="25">
        <f>IF(Artefatos!$L$58="","",Artefatos!$L$58*(1+TaxaCompra))</f>
        <v/>
      </c>
      <c r="S508">
        <f>IF(Artefatos!$M$58="","",Artefatos!$M$58)</f>
        <v/>
      </c>
      <c r="T508" s="25">
        <f>G508*Refino!$D$9+Artefatos!$F$58</f>
        <v/>
      </c>
      <c r="U508" s="25">
        <f>T508*0.1125*FeeCraft/100</f>
        <v/>
      </c>
      <c r="V508" s="23">
        <f>IF(OR(Q508="",R508=""),"",Q508+R508+U508)</f>
        <v/>
      </c>
      <c r="W508" s="23">
        <f>IF(O508="","",O508*(1-TaxaVenda))</f>
        <v/>
      </c>
      <c r="X508" s="26">
        <f>IF(OR(V508="",W508=""),"",W508-V508)</f>
        <v/>
      </c>
      <c r="Y508" s="27">
        <f>IF(X508="","",X508/V508)</f>
        <v/>
      </c>
    </row>
    <row r="509">
      <c r="A509" t="inlineStr">
        <is>
          <t>Duskweaver|Botas|T5.0</t>
        </is>
      </c>
      <c r="B509" t="inlineStr">
        <is>
          <t>Duskweaver</t>
        </is>
      </c>
      <c r="C509" t="inlineStr">
        <is>
          <t>Botas</t>
        </is>
      </c>
      <c r="D509" t="inlineStr">
        <is>
          <t>T5.0</t>
        </is>
      </c>
      <c r="E509" t="n">
        <v>5</v>
      </c>
      <c r="F509" t="n">
        <v>0</v>
      </c>
      <c r="G509" t="n">
        <v>8</v>
      </c>
      <c r="H509" s="22" t="n"/>
      <c r="I509" s="22" t="n"/>
      <c r="J509" s="22" t="n"/>
      <c r="K509" s="22" t="n"/>
      <c r="L509" s="22" t="n"/>
      <c r="M509" s="22" t="n"/>
      <c r="N509" s="22" t="n"/>
      <c r="O509" s="23">
        <f>IF(COUNT(H509:N509)=0,"",MAX(H509:N509))</f>
        <v/>
      </c>
      <c r="P509" s="24">
        <f>IF(O509="","",INDEX($H$3:$N$3,MATCH(O509,H509:N509,0)))</f>
        <v/>
      </c>
      <c r="Q509" s="23">
        <f>IF(Refino!$L$10="","",G509*Refino!$L$10*(1-RetCraft))</f>
        <v/>
      </c>
      <c r="R509" s="25">
        <f>IF(Artefatos!$L$59="","",Artefatos!$L$59*(1+TaxaCompra))</f>
        <v/>
      </c>
      <c r="S509">
        <f>IF(Artefatos!$M$59="","",Artefatos!$M$59)</f>
        <v/>
      </c>
      <c r="T509" s="25">
        <f>G509*Refino!$D$10+Artefatos!$F$59</f>
        <v/>
      </c>
      <c r="U509" s="25">
        <f>T509*0.1125*FeeCraft/100</f>
        <v/>
      </c>
      <c r="V509" s="23">
        <f>IF(OR(Q509="",R509=""),"",Q509+R509+U509)</f>
        <v/>
      </c>
      <c r="W509" s="23">
        <f>IF(O509="","",O509*(1-TaxaVenda))</f>
        <v/>
      </c>
      <c r="X509" s="26">
        <f>IF(OR(V509="",W509=""),"",W509-V509)</f>
        <v/>
      </c>
      <c r="Y509" s="27">
        <f>IF(X509="","",X509/V509)</f>
        <v/>
      </c>
    </row>
    <row r="510">
      <c r="A510" t="inlineStr">
        <is>
          <t>Duskweaver|Botas|T5.1</t>
        </is>
      </c>
      <c r="B510" t="inlineStr">
        <is>
          <t>Duskweaver</t>
        </is>
      </c>
      <c r="C510" t="inlineStr">
        <is>
          <t>Botas</t>
        </is>
      </c>
      <c r="D510" t="inlineStr">
        <is>
          <t>T5.1</t>
        </is>
      </c>
      <c r="E510" t="n">
        <v>5</v>
      </c>
      <c r="F510" t="n">
        <v>1</v>
      </c>
      <c r="G510" t="n">
        <v>8</v>
      </c>
      <c r="H510" s="22" t="n"/>
      <c r="I510" s="22" t="n"/>
      <c r="J510" s="22" t="n"/>
      <c r="K510" s="22" t="n"/>
      <c r="L510" s="22" t="n"/>
      <c r="M510" s="22" t="n"/>
      <c r="N510" s="22" t="n"/>
      <c r="O510" s="23">
        <f>IF(COUNT(H510:N510)=0,"",MAX(H510:N510))</f>
        <v/>
      </c>
      <c r="P510" s="24">
        <f>IF(O510="","",INDEX($H$3:$N$3,MATCH(O510,H510:N510,0)))</f>
        <v/>
      </c>
      <c r="Q510" s="23">
        <f>IF(Refino!$L$11="","",G510*Refino!$L$11*(1-RetCraft))</f>
        <v/>
      </c>
      <c r="R510" s="25">
        <f>IF(Artefatos!$L$59="","",Artefatos!$L$59*(1+TaxaCompra))</f>
        <v/>
      </c>
      <c r="S510">
        <f>IF(Artefatos!$M$59="","",Artefatos!$M$59)</f>
        <v/>
      </c>
      <c r="T510" s="25">
        <f>G510*Refino!$D$11+Artefatos!$F$59</f>
        <v/>
      </c>
      <c r="U510" s="25">
        <f>T510*0.1125*FeeCraft/100</f>
        <v/>
      </c>
      <c r="V510" s="23">
        <f>IF(OR(Q510="",R510=""),"",Q510+R510+U510)</f>
        <v/>
      </c>
      <c r="W510" s="23">
        <f>IF(O510="","",O510*(1-TaxaVenda))</f>
        <v/>
      </c>
      <c r="X510" s="26">
        <f>IF(OR(V510="",W510=""),"",W510-V510)</f>
        <v/>
      </c>
      <c r="Y510" s="27">
        <f>IF(X510="","",X510/V510)</f>
        <v/>
      </c>
    </row>
    <row r="511">
      <c r="A511" t="inlineStr">
        <is>
          <t>Duskweaver|Botas|T5.2</t>
        </is>
      </c>
      <c r="B511" t="inlineStr">
        <is>
          <t>Duskweaver</t>
        </is>
      </c>
      <c r="C511" t="inlineStr">
        <is>
          <t>Botas</t>
        </is>
      </c>
      <c r="D511" t="inlineStr">
        <is>
          <t>T5.2</t>
        </is>
      </c>
      <c r="E511" t="n">
        <v>5</v>
      </c>
      <c r="F511" t="n">
        <v>2</v>
      </c>
      <c r="G511" t="n">
        <v>8</v>
      </c>
      <c r="H511" s="22" t="n"/>
      <c r="I511" s="22" t="n"/>
      <c r="J511" s="22" t="n"/>
      <c r="K511" s="22" t="n"/>
      <c r="L511" s="22" t="n"/>
      <c r="M511" s="22" t="n"/>
      <c r="N511" s="22" t="n"/>
      <c r="O511" s="23">
        <f>IF(COUNT(H511:N511)=0,"",MAX(H511:N511))</f>
        <v/>
      </c>
      <c r="P511" s="24">
        <f>IF(O511="","",INDEX($H$3:$N$3,MATCH(O511,H511:N511,0)))</f>
        <v/>
      </c>
      <c r="Q511" s="23">
        <f>IF(Refino!$L$12="","",G511*Refino!$L$12*(1-RetCraft))</f>
        <v/>
      </c>
      <c r="R511" s="25">
        <f>IF(Artefatos!$L$59="","",Artefatos!$L$59*(1+TaxaCompra))</f>
        <v/>
      </c>
      <c r="S511">
        <f>IF(Artefatos!$M$59="","",Artefatos!$M$59)</f>
        <v/>
      </c>
      <c r="T511" s="25">
        <f>G511*Refino!$D$12+Artefatos!$F$59</f>
        <v/>
      </c>
      <c r="U511" s="25">
        <f>T511*0.1125*FeeCraft/100</f>
        <v/>
      </c>
      <c r="V511" s="23">
        <f>IF(OR(Q511="",R511=""),"",Q511+R511+U511)</f>
        <v/>
      </c>
      <c r="W511" s="23">
        <f>IF(O511="","",O511*(1-TaxaVenda))</f>
        <v/>
      </c>
      <c r="X511" s="26">
        <f>IF(OR(V511="",W511=""),"",W511-V511)</f>
        <v/>
      </c>
      <c r="Y511" s="27">
        <f>IF(X511="","",X511/V511)</f>
        <v/>
      </c>
    </row>
    <row r="512">
      <c r="A512" t="inlineStr">
        <is>
          <t>Duskweaver|Botas|T5.3</t>
        </is>
      </c>
      <c r="B512" t="inlineStr">
        <is>
          <t>Duskweaver</t>
        </is>
      </c>
      <c r="C512" t="inlineStr">
        <is>
          <t>Botas</t>
        </is>
      </c>
      <c r="D512" t="inlineStr">
        <is>
          <t>T5.3</t>
        </is>
      </c>
      <c r="E512" t="n">
        <v>5</v>
      </c>
      <c r="F512" t="n">
        <v>3</v>
      </c>
      <c r="G512" t="n">
        <v>8</v>
      </c>
      <c r="H512" s="22" t="n"/>
      <c r="I512" s="22" t="n"/>
      <c r="J512" s="22" t="n"/>
      <c r="K512" s="22" t="n"/>
      <c r="L512" s="22" t="n"/>
      <c r="M512" s="22" t="n"/>
      <c r="N512" s="22" t="n"/>
      <c r="O512" s="23">
        <f>IF(COUNT(H512:N512)=0,"",MAX(H512:N512))</f>
        <v/>
      </c>
      <c r="P512" s="24">
        <f>IF(O512="","",INDEX($H$3:$N$3,MATCH(O512,H512:N512,0)))</f>
        <v/>
      </c>
      <c r="Q512" s="23">
        <f>IF(Refino!$L$13="","",G512*Refino!$L$13*(1-RetCraft))</f>
        <v/>
      </c>
      <c r="R512" s="25">
        <f>IF(Artefatos!$L$59="","",Artefatos!$L$59*(1+TaxaCompra))</f>
        <v/>
      </c>
      <c r="S512">
        <f>IF(Artefatos!$M$59="","",Artefatos!$M$59)</f>
        <v/>
      </c>
      <c r="T512" s="25">
        <f>G512*Refino!$D$13+Artefatos!$F$59</f>
        <v/>
      </c>
      <c r="U512" s="25">
        <f>T512*0.1125*FeeCraft/100</f>
        <v/>
      </c>
      <c r="V512" s="23">
        <f>IF(OR(Q512="",R512=""),"",Q512+R512+U512)</f>
        <v/>
      </c>
      <c r="W512" s="23">
        <f>IF(O512="","",O512*(1-TaxaVenda))</f>
        <v/>
      </c>
      <c r="X512" s="26">
        <f>IF(OR(V512="",W512=""),"",W512-V512)</f>
        <v/>
      </c>
      <c r="Y512" s="27">
        <f>IF(X512="","",X512/V512)</f>
        <v/>
      </c>
    </row>
    <row r="513">
      <c r="A513" t="inlineStr">
        <is>
          <t>Duskweaver|Botas|T5.4</t>
        </is>
      </c>
      <c r="B513" t="inlineStr">
        <is>
          <t>Duskweaver</t>
        </is>
      </c>
      <c r="C513" t="inlineStr">
        <is>
          <t>Botas</t>
        </is>
      </c>
      <c r="D513" t="inlineStr">
        <is>
          <t>T5.4</t>
        </is>
      </c>
      <c r="E513" t="n">
        <v>5</v>
      </c>
      <c r="F513" t="n">
        <v>4</v>
      </c>
      <c r="G513" t="n">
        <v>8</v>
      </c>
      <c r="H513" s="22" t="n"/>
      <c r="I513" s="22" t="n"/>
      <c r="J513" s="22" t="n"/>
      <c r="K513" s="22" t="n"/>
      <c r="L513" s="22" t="n"/>
      <c r="M513" s="22" t="n"/>
      <c r="N513" s="22" t="n"/>
      <c r="O513" s="23">
        <f>IF(COUNT(H513:N513)=0,"",MAX(H513:N513))</f>
        <v/>
      </c>
      <c r="P513" s="24">
        <f>IF(O513="","",INDEX($H$3:$N$3,MATCH(O513,H513:N513,0)))</f>
        <v/>
      </c>
      <c r="Q513" s="23">
        <f>IF(Refino!$L$14="","",G513*Refino!$L$14*(1-RetCraft))</f>
        <v/>
      </c>
      <c r="R513" s="25">
        <f>IF(Artefatos!$L$59="","",Artefatos!$L$59*(1+TaxaCompra))</f>
        <v/>
      </c>
      <c r="S513">
        <f>IF(Artefatos!$M$59="","",Artefatos!$M$59)</f>
        <v/>
      </c>
      <c r="T513" s="25">
        <f>G513*Refino!$D$14+Artefatos!$F$59</f>
        <v/>
      </c>
      <c r="U513" s="25">
        <f>T513*0.1125*FeeCraft/100</f>
        <v/>
      </c>
      <c r="V513" s="23">
        <f>IF(OR(Q513="",R513=""),"",Q513+R513+U513)</f>
        <v/>
      </c>
      <c r="W513" s="23">
        <f>IF(O513="","",O513*(1-TaxaVenda))</f>
        <v/>
      </c>
      <c r="X513" s="26">
        <f>IF(OR(V513="",W513=""),"",W513-V513)</f>
        <v/>
      </c>
      <c r="Y513" s="27">
        <f>IF(X513="","",X513/V513)</f>
        <v/>
      </c>
    </row>
    <row r="514">
      <c r="A514" t="inlineStr">
        <is>
          <t>Duskweaver|Botas|T6.0</t>
        </is>
      </c>
      <c r="B514" t="inlineStr">
        <is>
          <t>Duskweaver</t>
        </is>
      </c>
      <c r="C514" t="inlineStr">
        <is>
          <t>Botas</t>
        </is>
      </c>
      <c r="D514" t="inlineStr">
        <is>
          <t>T6.0</t>
        </is>
      </c>
      <c r="E514" t="n">
        <v>6</v>
      </c>
      <c r="F514" t="n">
        <v>0</v>
      </c>
      <c r="G514" t="n">
        <v>8</v>
      </c>
      <c r="H514" s="22" t="n"/>
      <c r="I514" s="22" t="n"/>
      <c r="J514" s="22" t="n"/>
      <c r="K514" s="22" t="n"/>
      <c r="L514" s="22" t="n"/>
      <c r="M514" s="22" t="n"/>
      <c r="N514" s="22" t="n"/>
      <c r="O514" s="23">
        <f>IF(COUNT(H514:N514)=0,"",MAX(H514:N514))</f>
        <v/>
      </c>
      <c r="P514" s="24">
        <f>IF(O514="","",INDEX($H$3:$N$3,MATCH(O514,H514:N514,0)))</f>
        <v/>
      </c>
      <c r="Q514" s="23">
        <f>IF(Refino!$L$15="","",G514*Refino!$L$15*(1-RetCraft))</f>
        <v/>
      </c>
      <c r="R514" s="25">
        <f>IF(Artefatos!$L$60="","",Artefatos!$L$60*(1+TaxaCompra))</f>
        <v/>
      </c>
      <c r="S514">
        <f>IF(Artefatos!$M$60="","",Artefatos!$M$60)</f>
        <v/>
      </c>
      <c r="T514" s="25">
        <f>G514*Refino!$D$15+Artefatos!$F$60</f>
        <v/>
      </c>
      <c r="U514" s="25">
        <f>T514*0.1125*FeeCraft/100</f>
        <v/>
      </c>
      <c r="V514" s="23">
        <f>IF(OR(Q514="",R514=""),"",Q514+R514+U514)</f>
        <v/>
      </c>
      <c r="W514" s="23">
        <f>IF(O514="","",O514*(1-TaxaVenda))</f>
        <v/>
      </c>
      <c r="X514" s="26">
        <f>IF(OR(V514="",W514=""),"",W514-V514)</f>
        <v/>
      </c>
      <c r="Y514" s="27">
        <f>IF(X514="","",X514/V514)</f>
        <v/>
      </c>
    </row>
    <row r="515">
      <c r="A515" t="inlineStr">
        <is>
          <t>Duskweaver|Botas|T6.1</t>
        </is>
      </c>
      <c r="B515" t="inlineStr">
        <is>
          <t>Duskweaver</t>
        </is>
      </c>
      <c r="C515" t="inlineStr">
        <is>
          <t>Botas</t>
        </is>
      </c>
      <c r="D515" t="inlineStr">
        <is>
          <t>T6.1</t>
        </is>
      </c>
      <c r="E515" t="n">
        <v>6</v>
      </c>
      <c r="F515" t="n">
        <v>1</v>
      </c>
      <c r="G515" t="n">
        <v>8</v>
      </c>
      <c r="H515" s="22" t="n"/>
      <c r="I515" s="22" t="n"/>
      <c r="J515" s="22" t="n"/>
      <c r="K515" s="22" t="n"/>
      <c r="L515" s="22" t="n"/>
      <c r="M515" s="22" t="n"/>
      <c r="N515" s="22" t="n"/>
      <c r="O515" s="23">
        <f>IF(COUNT(H515:N515)=0,"",MAX(H515:N515))</f>
        <v/>
      </c>
      <c r="P515" s="24">
        <f>IF(O515="","",INDEX($H$3:$N$3,MATCH(O515,H515:N515,0)))</f>
        <v/>
      </c>
      <c r="Q515" s="23">
        <f>IF(Refino!$L$16="","",G515*Refino!$L$16*(1-RetCraft))</f>
        <v/>
      </c>
      <c r="R515" s="25">
        <f>IF(Artefatos!$L$60="","",Artefatos!$L$60*(1+TaxaCompra))</f>
        <v/>
      </c>
      <c r="S515">
        <f>IF(Artefatos!$M$60="","",Artefatos!$M$60)</f>
        <v/>
      </c>
      <c r="T515" s="25">
        <f>G515*Refino!$D$16+Artefatos!$F$60</f>
        <v/>
      </c>
      <c r="U515" s="25">
        <f>T515*0.1125*FeeCraft/100</f>
        <v/>
      </c>
      <c r="V515" s="23">
        <f>IF(OR(Q515="",R515=""),"",Q515+R515+U515)</f>
        <v/>
      </c>
      <c r="W515" s="23">
        <f>IF(O515="","",O515*(1-TaxaVenda))</f>
        <v/>
      </c>
      <c r="X515" s="26">
        <f>IF(OR(V515="",W515=""),"",W515-V515)</f>
        <v/>
      </c>
      <c r="Y515" s="27">
        <f>IF(X515="","",X515/V515)</f>
        <v/>
      </c>
    </row>
    <row r="516">
      <c r="A516" t="inlineStr">
        <is>
          <t>Duskweaver|Botas|T6.2</t>
        </is>
      </c>
      <c r="B516" t="inlineStr">
        <is>
          <t>Duskweaver</t>
        </is>
      </c>
      <c r="C516" t="inlineStr">
        <is>
          <t>Botas</t>
        </is>
      </c>
      <c r="D516" t="inlineStr">
        <is>
          <t>T6.2</t>
        </is>
      </c>
      <c r="E516" t="n">
        <v>6</v>
      </c>
      <c r="F516" t="n">
        <v>2</v>
      </c>
      <c r="G516" t="n">
        <v>8</v>
      </c>
      <c r="H516" s="22" t="n"/>
      <c r="I516" s="22" t="n"/>
      <c r="J516" s="22" t="n"/>
      <c r="K516" s="22" t="n"/>
      <c r="L516" s="22" t="n"/>
      <c r="M516" s="22" t="n"/>
      <c r="N516" s="22" t="n"/>
      <c r="O516" s="23">
        <f>IF(COUNT(H516:N516)=0,"",MAX(H516:N516))</f>
        <v/>
      </c>
      <c r="P516" s="24">
        <f>IF(O516="","",INDEX($H$3:$N$3,MATCH(O516,H516:N516,0)))</f>
        <v/>
      </c>
      <c r="Q516" s="23">
        <f>IF(Refino!$L$17="","",G516*Refino!$L$17*(1-RetCraft))</f>
        <v/>
      </c>
      <c r="R516" s="25">
        <f>IF(Artefatos!$L$60="","",Artefatos!$L$60*(1+TaxaCompra))</f>
        <v/>
      </c>
      <c r="S516">
        <f>IF(Artefatos!$M$60="","",Artefatos!$M$60)</f>
        <v/>
      </c>
      <c r="T516" s="25">
        <f>G516*Refino!$D$17+Artefatos!$F$60</f>
        <v/>
      </c>
      <c r="U516" s="25">
        <f>T516*0.1125*FeeCraft/100</f>
        <v/>
      </c>
      <c r="V516" s="23">
        <f>IF(OR(Q516="",R516=""),"",Q516+R516+U516)</f>
        <v/>
      </c>
      <c r="W516" s="23">
        <f>IF(O516="","",O516*(1-TaxaVenda))</f>
        <v/>
      </c>
      <c r="X516" s="26">
        <f>IF(OR(V516="",W516=""),"",W516-V516)</f>
        <v/>
      </c>
      <c r="Y516" s="27">
        <f>IF(X516="","",X516/V516)</f>
        <v/>
      </c>
    </row>
    <row r="517">
      <c r="A517" t="inlineStr">
        <is>
          <t>Duskweaver|Botas|T6.3</t>
        </is>
      </c>
      <c r="B517" t="inlineStr">
        <is>
          <t>Duskweaver</t>
        </is>
      </c>
      <c r="C517" t="inlineStr">
        <is>
          <t>Botas</t>
        </is>
      </c>
      <c r="D517" t="inlineStr">
        <is>
          <t>T6.3</t>
        </is>
      </c>
      <c r="E517" t="n">
        <v>6</v>
      </c>
      <c r="F517" t="n">
        <v>3</v>
      </c>
      <c r="G517" t="n">
        <v>8</v>
      </c>
      <c r="H517" s="22" t="n"/>
      <c r="I517" s="22" t="n"/>
      <c r="J517" s="22" t="n"/>
      <c r="K517" s="22" t="n"/>
      <c r="L517" s="22" t="n"/>
      <c r="M517" s="22" t="n"/>
      <c r="N517" s="22" t="n"/>
      <c r="O517" s="23">
        <f>IF(COUNT(H517:N517)=0,"",MAX(H517:N517))</f>
        <v/>
      </c>
      <c r="P517" s="24">
        <f>IF(O517="","",INDEX($H$3:$N$3,MATCH(O517,H517:N517,0)))</f>
        <v/>
      </c>
      <c r="Q517" s="23">
        <f>IF(Refino!$L$18="","",G517*Refino!$L$18*(1-RetCraft))</f>
        <v/>
      </c>
      <c r="R517" s="25">
        <f>IF(Artefatos!$L$60="","",Artefatos!$L$60*(1+TaxaCompra))</f>
        <v/>
      </c>
      <c r="S517">
        <f>IF(Artefatos!$M$60="","",Artefatos!$M$60)</f>
        <v/>
      </c>
      <c r="T517" s="25">
        <f>G517*Refino!$D$18+Artefatos!$F$60</f>
        <v/>
      </c>
      <c r="U517" s="25">
        <f>T517*0.1125*FeeCraft/100</f>
        <v/>
      </c>
      <c r="V517" s="23">
        <f>IF(OR(Q517="",R517=""),"",Q517+R517+U517)</f>
        <v/>
      </c>
      <c r="W517" s="23">
        <f>IF(O517="","",O517*(1-TaxaVenda))</f>
        <v/>
      </c>
      <c r="X517" s="26">
        <f>IF(OR(V517="",W517=""),"",W517-V517)</f>
        <v/>
      </c>
      <c r="Y517" s="27">
        <f>IF(X517="","",X517/V517)</f>
        <v/>
      </c>
    </row>
    <row r="518">
      <c r="A518" t="inlineStr">
        <is>
          <t>Duskweaver|Botas|T6.4</t>
        </is>
      </c>
      <c r="B518" t="inlineStr">
        <is>
          <t>Duskweaver</t>
        </is>
      </c>
      <c r="C518" t="inlineStr">
        <is>
          <t>Botas</t>
        </is>
      </c>
      <c r="D518" t="inlineStr">
        <is>
          <t>T6.4</t>
        </is>
      </c>
      <c r="E518" t="n">
        <v>6</v>
      </c>
      <c r="F518" t="n">
        <v>4</v>
      </c>
      <c r="G518" t="n">
        <v>8</v>
      </c>
      <c r="H518" s="22" t="n"/>
      <c r="I518" s="22" t="n"/>
      <c r="J518" s="22" t="n"/>
      <c r="K518" s="22" t="n"/>
      <c r="L518" s="22" t="n"/>
      <c r="M518" s="22" t="n"/>
      <c r="N518" s="22" t="n"/>
      <c r="O518" s="23">
        <f>IF(COUNT(H518:N518)=0,"",MAX(H518:N518))</f>
        <v/>
      </c>
      <c r="P518" s="24">
        <f>IF(O518="","",INDEX($H$3:$N$3,MATCH(O518,H518:N518,0)))</f>
        <v/>
      </c>
      <c r="Q518" s="23">
        <f>IF(Refino!$L$19="","",G518*Refino!$L$19*(1-RetCraft))</f>
        <v/>
      </c>
      <c r="R518" s="25">
        <f>IF(Artefatos!$L$60="","",Artefatos!$L$60*(1+TaxaCompra))</f>
        <v/>
      </c>
      <c r="S518">
        <f>IF(Artefatos!$M$60="","",Artefatos!$M$60)</f>
        <v/>
      </c>
      <c r="T518" s="25">
        <f>G518*Refino!$D$19+Artefatos!$F$60</f>
        <v/>
      </c>
      <c r="U518" s="25">
        <f>T518*0.1125*FeeCraft/100</f>
        <v/>
      </c>
      <c r="V518" s="23">
        <f>IF(OR(Q518="",R518=""),"",Q518+R518+U518)</f>
        <v/>
      </c>
      <c r="W518" s="23">
        <f>IF(O518="","",O518*(1-TaxaVenda))</f>
        <v/>
      </c>
      <c r="X518" s="26">
        <f>IF(OR(V518="",W518=""),"",W518-V518)</f>
        <v/>
      </c>
      <c r="Y518" s="27">
        <f>IF(X518="","",X518/V518)</f>
        <v/>
      </c>
    </row>
    <row r="519">
      <c r="A519" t="inlineStr">
        <is>
          <t>Duskweaver|Botas|T7.0</t>
        </is>
      </c>
      <c r="B519" t="inlineStr">
        <is>
          <t>Duskweaver</t>
        </is>
      </c>
      <c r="C519" t="inlineStr">
        <is>
          <t>Botas</t>
        </is>
      </c>
      <c r="D519" t="inlineStr">
        <is>
          <t>T7.0</t>
        </is>
      </c>
      <c r="E519" t="n">
        <v>7</v>
      </c>
      <c r="F519" t="n">
        <v>0</v>
      </c>
      <c r="G519" t="n">
        <v>8</v>
      </c>
      <c r="H519" s="22" t="n"/>
      <c r="I519" s="22" t="n"/>
      <c r="J519" s="22" t="n"/>
      <c r="K519" s="22" t="n"/>
      <c r="L519" s="22" t="n"/>
      <c r="M519" s="22" t="n"/>
      <c r="N519" s="22" t="n"/>
      <c r="O519" s="23">
        <f>IF(COUNT(H519:N519)=0,"",MAX(H519:N519))</f>
        <v/>
      </c>
      <c r="P519" s="24">
        <f>IF(O519="","",INDEX($H$3:$N$3,MATCH(O519,H519:N519,0)))</f>
        <v/>
      </c>
      <c r="Q519" s="23">
        <f>IF(Refino!$L$20="","",G519*Refino!$L$20*(1-RetCraft))</f>
        <v/>
      </c>
      <c r="R519" s="25">
        <f>IF(Artefatos!$L$61="","",Artefatos!$L$61*(1+TaxaCompra))</f>
        <v/>
      </c>
      <c r="S519">
        <f>IF(Artefatos!$M$61="","",Artefatos!$M$61)</f>
        <v/>
      </c>
      <c r="T519" s="25">
        <f>G519*Refino!$D$20+Artefatos!$F$61</f>
        <v/>
      </c>
      <c r="U519" s="25">
        <f>T519*0.1125*FeeCraft/100</f>
        <v/>
      </c>
      <c r="V519" s="23">
        <f>IF(OR(Q519="",R519=""),"",Q519+R519+U519)</f>
        <v/>
      </c>
      <c r="W519" s="23">
        <f>IF(O519="","",O519*(1-TaxaVenda))</f>
        <v/>
      </c>
      <c r="X519" s="26">
        <f>IF(OR(V519="",W519=""),"",W519-V519)</f>
        <v/>
      </c>
      <c r="Y519" s="27">
        <f>IF(X519="","",X519/V519)</f>
        <v/>
      </c>
    </row>
    <row r="520">
      <c r="A520" t="inlineStr">
        <is>
          <t>Duskweaver|Botas|T7.1</t>
        </is>
      </c>
      <c r="B520" t="inlineStr">
        <is>
          <t>Duskweaver</t>
        </is>
      </c>
      <c r="C520" t="inlineStr">
        <is>
          <t>Botas</t>
        </is>
      </c>
      <c r="D520" t="inlineStr">
        <is>
          <t>T7.1</t>
        </is>
      </c>
      <c r="E520" t="n">
        <v>7</v>
      </c>
      <c r="F520" t="n">
        <v>1</v>
      </c>
      <c r="G520" t="n">
        <v>8</v>
      </c>
      <c r="H520" s="22" t="n"/>
      <c r="I520" s="22" t="n"/>
      <c r="J520" s="22" t="n"/>
      <c r="K520" s="22" t="n"/>
      <c r="L520" s="22" t="n"/>
      <c r="M520" s="22" t="n"/>
      <c r="N520" s="22" t="n"/>
      <c r="O520" s="23">
        <f>IF(COUNT(H520:N520)=0,"",MAX(H520:N520))</f>
        <v/>
      </c>
      <c r="P520" s="24">
        <f>IF(O520="","",INDEX($H$3:$N$3,MATCH(O520,H520:N520,0)))</f>
        <v/>
      </c>
      <c r="Q520" s="23">
        <f>IF(Refino!$L$21="","",G520*Refino!$L$21*(1-RetCraft))</f>
        <v/>
      </c>
      <c r="R520" s="25">
        <f>IF(Artefatos!$L$61="","",Artefatos!$L$61*(1+TaxaCompra))</f>
        <v/>
      </c>
      <c r="S520">
        <f>IF(Artefatos!$M$61="","",Artefatos!$M$61)</f>
        <v/>
      </c>
      <c r="T520" s="25">
        <f>G520*Refino!$D$21+Artefatos!$F$61</f>
        <v/>
      </c>
      <c r="U520" s="25">
        <f>T520*0.1125*FeeCraft/100</f>
        <v/>
      </c>
      <c r="V520" s="23">
        <f>IF(OR(Q520="",R520=""),"",Q520+R520+U520)</f>
        <v/>
      </c>
      <c r="W520" s="23">
        <f>IF(O520="","",O520*(1-TaxaVenda))</f>
        <v/>
      </c>
      <c r="X520" s="26">
        <f>IF(OR(V520="",W520=""),"",W520-V520)</f>
        <v/>
      </c>
      <c r="Y520" s="27">
        <f>IF(X520="","",X520/V520)</f>
        <v/>
      </c>
    </row>
    <row r="521">
      <c r="A521" t="inlineStr">
        <is>
          <t>Duskweaver|Botas|T7.2</t>
        </is>
      </c>
      <c r="B521" t="inlineStr">
        <is>
          <t>Duskweaver</t>
        </is>
      </c>
      <c r="C521" t="inlineStr">
        <is>
          <t>Botas</t>
        </is>
      </c>
      <c r="D521" t="inlineStr">
        <is>
          <t>T7.2</t>
        </is>
      </c>
      <c r="E521" t="n">
        <v>7</v>
      </c>
      <c r="F521" t="n">
        <v>2</v>
      </c>
      <c r="G521" t="n">
        <v>8</v>
      </c>
      <c r="H521" s="22" t="n"/>
      <c r="I521" s="22" t="n"/>
      <c r="J521" s="22" t="n"/>
      <c r="K521" s="22" t="n"/>
      <c r="L521" s="22" t="n"/>
      <c r="M521" s="22" t="n"/>
      <c r="N521" s="22" t="n"/>
      <c r="O521" s="23">
        <f>IF(COUNT(H521:N521)=0,"",MAX(H521:N521))</f>
        <v/>
      </c>
      <c r="P521" s="24">
        <f>IF(O521="","",INDEX($H$3:$N$3,MATCH(O521,H521:N521,0)))</f>
        <v/>
      </c>
      <c r="Q521" s="23">
        <f>IF(Refino!$L$22="","",G521*Refino!$L$22*(1-RetCraft))</f>
        <v/>
      </c>
      <c r="R521" s="25">
        <f>IF(Artefatos!$L$61="","",Artefatos!$L$61*(1+TaxaCompra))</f>
        <v/>
      </c>
      <c r="S521">
        <f>IF(Artefatos!$M$61="","",Artefatos!$M$61)</f>
        <v/>
      </c>
      <c r="T521" s="25">
        <f>G521*Refino!$D$22+Artefatos!$F$61</f>
        <v/>
      </c>
      <c r="U521" s="25">
        <f>T521*0.1125*FeeCraft/100</f>
        <v/>
      </c>
      <c r="V521" s="23">
        <f>IF(OR(Q521="",R521=""),"",Q521+R521+U521)</f>
        <v/>
      </c>
      <c r="W521" s="23">
        <f>IF(O521="","",O521*(1-TaxaVenda))</f>
        <v/>
      </c>
      <c r="X521" s="26">
        <f>IF(OR(V521="",W521=""),"",W521-V521)</f>
        <v/>
      </c>
      <c r="Y521" s="27">
        <f>IF(X521="","",X521/V521)</f>
        <v/>
      </c>
    </row>
    <row r="522">
      <c r="A522" t="inlineStr">
        <is>
          <t>Duskweaver|Botas|T7.3</t>
        </is>
      </c>
      <c r="B522" t="inlineStr">
        <is>
          <t>Duskweaver</t>
        </is>
      </c>
      <c r="C522" t="inlineStr">
        <is>
          <t>Botas</t>
        </is>
      </c>
      <c r="D522" t="inlineStr">
        <is>
          <t>T7.3</t>
        </is>
      </c>
      <c r="E522" t="n">
        <v>7</v>
      </c>
      <c r="F522" t="n">
        <v>3</v>
      </c>
      <c r="G522" t="n">
        <v>8</v>
      </c>
      <c r="H522" s="22" t="n"/>
      <c r="I522" s="22" t="n"/>
      <c r="J522" s="22" t="n"/>
      <c r="K522" s="22" t="n"/>
      <c r="L522" s="22" t="n"/>
      <c r="M522" s="22" t="n"/>
      <c r="N522" s="22" t="n"/>
      <c r="O522" s="23">
        <f>IF(COUNT(H522:N522)=0,"",MAX(H522:N522))</f>
        <v/>
      </c>
      <c r="P522" s="24">
        <f>IF(O522="","",INDEX($H$3:$N$3,MATCH(O522,H522:N522,0)))</f>
        <v/>
      </c>
      <c r="Q522" s="23">
        <f>IF(Refino!$L$23="","",G522*Refino!$L$23*(1-RetCraft))</f>
        <v/>
      </c>
      <c r="R522" s="25">
        <f>IF(Artefatos!$L$61="","",Artefatos!$L$61*(1+TaxaCompra))</f>
        <v/>
      </c>
      <c r="S522">
        <f>IF(Artefatos!$M$61="","",Artefatos!$M$61)</f>
        <v/>
      </c>
      <c r="T522" s="25">
        <f>G522*Refino!$D$23+Artefatos!$F$61</f>
        <v/>
      </c>
      <c r="U522" s="25">
        <f>T522*0.1125*FeeCraft/100</f>
        <v/>
      </c>
      <c r="V522" s="23">
        <f>IF(OR(Q522="",R522=""),"",Q522+R522+U522)</f>
        <v/>
      </c>
      <c r="W522" s="23">
        <f>IF(O522="","",O522*(1-TaxaVenda))</f>
        <v/>
      </c>
      <c r="X522" s="26">
        <f>IF(OR(V522="",W522=""),"",W522-V522)</f>
        <v/>
      </c>
      <c r="Y522" s="27">
        <f>IF(X522="","",X522/V522)</f>
        <v/>
      </c>
    </row>
    <row r="523">
      <c r="A523" t="inlineStr">
        <is>
          <t>Duskweaver|Botas|T7.4</t>
        </is>
      </c>
      <c r="B523" t="inlineStr">
        <is>
          <t>Duskweaver</t>
        </is>
      </c>
      <c r="C523" t="inlineStr">
        <is>
          <t>Botas</t>
        </is>
      </c>
      <c r="D523" t="inlineStr">
        <is>
          <t>T7.4</t>
        </is>
      </c>
      <c r="E523" t="n">
        <v>7</v>
      </c>
      <c r="F523" t="n">
        <v>4</v>
      </c>
      <c r="G523" t="n">
        <v>8</v>
      </c>
      <c r="H523" s="22" t="n"/>
      <c r="I523" s="22" t="n"/>
      <c r="J523" s="22" t="n"/>
      <c r="K523" s="22" t="n"/>
      <c r="L523" s="22" t="n"/>
      <c r="M523" s="22" t="n"/>
      <c r="N523" s="22" t="n"/>
      <c r="O523" s="23">
        <f>IF(COUNT(H523:N523)=0,"",MAX(H523:N523))</f>
        <v/>
      </c>
      <c r="P523" s="24">
        <f>IF(O523="","",INDEX($H$3:$N$3,MATCH(O523,H523:N523,0)))</f>
        <v/>
      </c>
      <c r="Q523" s="23">
        <f>IF(Refino!$L$24="","",G523*Refino!$L$24*(1-RetCraft))</f>
        <v/>
      </c>
      <c r="R523" s="25">
        <f>IF(Artefatos!$L$61="","",Artefatos!$L$61*(1+TaxaCompra))</f>
        <v/>
      </c>
      <c r="S523">
        <f>IF(Artefatos!$M$61="","",Artefatos!$M$61)</f>
        <v/>
      </c>
      <c r="T523" s="25">
        <f>G523*Refino!$D$24+Artefatos!$F$61</f>
        <v/>
      </c>
      <c r="U523" s="25">
        <f>T523*0.1125*FeeCraft/100</f>
        <v/>
      </c>
      <c r="V523" s="23">
        <f>IF(OR(Q523="",R523=""),"",Q523+R523+U523)</f>
        <v/>
      </c>
      <c r="W523" s="23">
        <f>IF(O523="","",O523*(1-TaxaVenda))</f>
        <v/>
      </c>
      <c r="X523" s="26">
        <f>IF(OR(V523="",W523=""),"",W523-V523)</f>
        <v/>
      </c>
      <c r="Y523" s="27">
        <f>IF(X523="","",X523/V523)</f>
        <v/>
      </c>
    </row>
    <row r="524">
      <c r="A524" t="inlineStr">
        <is>
          <t>Duskweaver|Botas|T8.0</t>
        </is>
      </c>
      <c r="B524" t="inlineStr">
        <is>
          <t>Duskweaver</t>
        </is>
      </c>
      <c r="C524" t="inlineStr">
        <is>
          <t>Botas</t>
        </is>
      </c>
      <c r="D524" t="inlineStr">
        <is>
          <t>T8.0</t>
        </is>
      </c>
      <c r="E524" t="n">
        <v>8</v>
      </c>
      <c r="F524" t="n">
        <v>0</v>
      </c>
      <c r="G524" t="n">
        <v>8</v>
      </c>
      <c r="H524" s="22" t="n"/>
      <c r="I524" s="22" t="n"/>
      <c r="J524" s="22" t="n"/>
      <c r="K524" s="22" t="n"/>
      <c r="L524" s="22" t="n"/>
      <c r="M524" s="22" t="n"/>
      <c r="N524" s="22" t="n"/>
      <c r="O524" s="23">
        <f>IF(COUNT(H524:N524)=0,"",MAX(H524:N524))</f>
        <v/>
      </c>
      <c r="P524" s="24">
        <f>IF(O524="","",INDEX($H$3:$N$3,MATCH(O524,H524:N524,0)))</f>
        <v/>
      </c>
      <c r="Q524" s="23">
        <f>IF(Refino!$L$25="","",G524*Refino!$L$25*(1-RetCraft))</f>
        <v/>
      </c>
      <c r="R524" s="25">
        <f>IF(Artefatos!$L$62="","",Artefatos!$L$62*(1+TaxaCompra))</f>
        <v/>
      </c>
      <c r="S524">
        <f>IF(Artefatos!$M$62="","",Artefatos!$M$62)</f>
        <v/>
      </c>
      <c r="T524" s="25">
        <f>G524*Refino!$D$25+Artefatos!$F$62</f>
        <v/>
      </c>
      <c r="U524" s="25">
        <f>T524*0.1125*FeeCraft/100</f>
        <v/>
      </c>
      <c r="V524" s="23">
        <f>IF(OR(Q524="",R524=""),"",Q524+R524+U524)</f>
        <v/>
      </c>
      <c r="W524" s="23">
        <f>IF(O524="","",O524*(1-TaxaVenda))</f>
        <v/>
      </c>
      <c r="X524" s="26">
        <f>IF(OR(V524="",W524=""),"",W524-V524)</f>
        <v/>
      </c>
      <c r="Y524" s="27">
        <f>IF(X524="","",X524/V524)</f>
        <v/>
      </c>
    </row>
    <row r="525">
      <c r="A525" t="inlineStr">
        <is>
          <t>Duskweaver|Botas|T8.1</t>
        </is>
      </c>
      <c r="B525" t="inlineStr">
        <is>
          <t>Duskweaver</t>
        </is>
      </c>
      <c r="C525" t="inlineStr">
        <is>
          <t>Botas</t>
        </is>
      </c>
      <c r="D525" t="inlineStr">
        <is>
          <t>T8.1</t>
        </is>
      </c>
      <c r="E525" t="n">
        <v>8</v>
      </c>
      <c r="F525" t="n">
        <v>1</v>
      </c>
      <c r="G525" t="n">
        <v>8</v>
      </c>
      <c r="H525" s="22" t="n"/>
      <c r="I525" s="22" t="n"/>
      <c r="J525" s="22" t="n"/>
      <c r="K525" s="22" t="n"/>
      <c r="L525" s="22" t="n"/>
      <c r="M525" s="22" t="n"/>
      <c r="N525" s="22" t="n"/>
      <c r="O525" s="23">
        <f>IF(COUNT(H525:N525)=0,"",MAX(H525:N525))</f>
        <v/>
      </c>
      <c r="P525" s="24">
        <f>IF(O525="","",INDEX($H$3:$N$3,MATCH(O525,H525:N525,0)))</f>
        <v/>
      </c>
      <c r="Q525" s="23">
        <f>IF(Refino!$L$26="","",G525*Refino!$L$26*(1-RetCraft))</f>
        <v/>
      </c>
      <c r="R525" s="25">
        <f>IF(Artefatos!$L$62="","",Artefatos!$L$62*(1+TaxaCompra))</f>
        <v/>
      </c>
      <c r="S525">
        <f>IF(Artefatos!$M$62="","",Artefatos!$M$62)</f>
        <v/>
      </c>
      <c r="T525" s="25">
        <f>G525*Refino!$D$26+Artefatos!$F$62</f>
        <v/>
      </c>
      <c r="U525" s="25">
        <f>T525*0.1125*FeeCraft/100</f>
        <v/>
      </c>
      <c r="V525" s="23">
        <f>IF(OR(Q525="",R525=""),"",Q525+R525+U525)</f>
        <v/>
      </c>
      <c r="W525" s="23">
        <f>IF(O525="","",O525*(1-TaxaVenda))</f>
        <v/>
      </c>
      <c r="X525" s="26">
        <f>IF(OR(V525="",W525=""),"",W525-V525)</f>
        <v/>
      </c>
      <c r="Y525" s="27">
        <f>IF(X525="","",X525/V525)</f>
        <v/>
      </c>
    </row>
    <row r="526">
      <c r="A526" t="inlineStr">
        <is>
          <t>Duskweaver|Botas|T8.2</t>
        </is>
      </c>
      <c r="B526" t="inlineStr">
        <is>
          <t>Duskweaver</t>
        </is>
      </c>
      <c r="C526" t="inlineStr">
        <is>
          <t>Botas</t>
        </is>
      </c>
      <c r="D526" t="inlineStr">
        <is>
          <t>T8.2</t>
        </is>
      </c>
      <c r="E526" t="n">
        <v>8</v>
      </c>
      <c r="F526" t="n">
        <v>2</v>
      </c>
      <c r="G526" t="n">
        <v>8</v>
      </c>
      <c r="H526" s="22" t="n"/>
      <c r="I526" s="22" t="n"/>
      <c r="J526" s="22" t="n"/>
      <c r="K526" s="22" t="n"/>
      <c r="L526" s="22" t="n"/>
      <c r="M526" s="22" t="n"/>
      <c r="N526" s="22" t="n"/>
      <c r="O526" s="23">
        <f>IF(COUNT(H526:N526)=0,"",MAX(H526:N526))</f>
        <v/>
      </c>
      <c r="P526" s="24">
        <f>IF(O526="","",INDEX($H$3:$N$3,MATCH(O526,H526:N526,0)))</f>
        <v/>
      </c>
      <c r="Q526" s="23">
        <f>IF(Refino!$L$27="","",G526*Refino!$L$27*(1-RetCraft))</f>
        <v/>
      </c>
      <c r="R526" s="25">
        <f>IF(Artefatos!$L$62="","",Artefatos!$L$62*(1+TaxaCompra))</f>
        <v/>
      </c>
      <c r="S526">
        <f>IF(Artefatos!$M$62="","",Artefatos!$M$62)</f>
        <v/>
      </c>
      <c r="T526" s="25">
        <f>G526*Refino!$D$27+Artefatos!$F$62</f>
        <v/>
      </c>
      <c r="U526" s="25">
        <f>T526*0.1125*FeeCraft/100</f>
        <v/>
      </c>
      <c r="V526" s="23">
        <f>IF(OR(Q526="",R526=""),"",Q526+R526+U526)</f>
        <v/>
      </c>
      <c r="W526" s="23">
        <f>IF(O526="","",O526*(1-TaxaVenda))</f>
        <v/>
      </c>
      <c r="X526" s="26">
        <f>IF(OR(V526="",W526=""),"",W526-V526)</f>
        <v/>
      </c>
      <c r="Y526" s="27">
        <f>IF(X526="","",X526/V526)</f>
        <v/>
      </c>
    </row>
    <row r="527">
      <c r="A527" t="inlineStr">
        <is>
          <t>Duskweaver|Botas|T8.3</t>
        </is>
      </c>
      <c r="B527" t="inlineStr">
        <is>
          <t>Duskweaver</t>
        </is>
      </c>
      <c r="C527" t="inlineStr">
        <is>
          <t>Botas</t>
        </is>
      </c>
      <c r="D527" t="inlineStr">
        <is>
          <t>T8.3</t>
        </is>
      </c>
      <c r="E527" t="n">
        <v>8</v>
      </c>
      <c r="F527" t="n">
        <v>3</v>
      </c>
      <c r="G527" t="n">
        <v>8</v>
      </c>
      <c r="H527" s="22" t="n"/>
      <c r="I527" s="22" t="n"/>
      <c r="J527" s="22" t="n"/>
      <c r="K527" s="22" t="n"/>
      <c r="L527" s="22" t="n"/>
      <c r="M527" s="22" t="n"/>
      <c r="N527" s="22" t="n"/>
      <c r="O527" s="23">
        <f>IF(COUNT(H527:N527)=0,"",MAX(H527:N527))</f>
        <v/>
      </c>
      <c r="P527" s="24">
        <f>IF(O527="","",INDEX($H$3:$N$3,MATCH(O527,H527:N527,0)))</f>
        <v/>
      </c>
      <c r="Q527" s="23">
        <f>IF(Refino!$L$28="","",G527*Refino!$L$28*(1-RetCraft))</f>
        <v/>
      </c>
      <c r="R527" s="25">
        <f>IF(Artefatos!$L$62="","",Artefatos!$L$62*(1+TaxaCompra))</f>
        <v/>
      </c>
      <c r="S527">
        <f>IF(Artefatos!$M$62="","",Artefatos!$M$62)</f>
        <v/>
      </c>
      <c r="T527" s="25">
        <f>G527*Refino!$D$28+Artefatos!$F$62</f>
        <v/>
      </c>
      <c r="U527" s="25">
        <f>T527*0.1125*FeeCraft/100</f>
        <v/>
      </c>
      <c r="V527" s="23">
        <f>IF(OR(Q527="",R527=""),"",Q527+R527+U527)</f>
        <v/>
      </c>
      <c r="W527" s="23">
        <f>IF(O527="","",O527*(1-TaxaVenda))</f>
        <v/>
      </c>
      <c r="X527" s="26">
        <f>IF(OR(V527="",W527=""),"",W527-V527)</f>
        <v/>
      </c>
      <c r="Y527" s="27">
        <f>IF(X527="","",X527/V527)</f>
        <v/>
      </c>
    </row>
    <row r="528">
      <c r="A528" t="inlineStr">
        <is>
          <t>Duskweaver|Botas|T8.4</t>
        </is>
      </c>
      <c r="B528" t="inlineStr">
        <is>
          <t>Duskweaver</t>
        </is>
      </c>
      <c r="C528" t="inlineStr">
        <is>
          <t>Botas</t>
        </is>
      </c>
      <c r="D528" t="inlineStr">
        <is>
          <t>T8.4</t>
        </is>
      </c>
      <c r="E528" t="n">
        <v>8</v>
      </c>
      <c r="F528" t="n">
        <v>4</v>
      </c>
      <c r="G528" t="n">
        <v>8</v>
      </c>
      <c r="H528" s="22" t="n"/>
      <c r="I528" s="22" t="n"/>
      <c r="J528" s="22" t="n"/>
      <c r="K528" s="22" t="n"/>
      <c r="L528" s="22" t="n"/>
      <c r="M528" s="22" t="n"/>
      <c r="N528" s="22" t="n"/>
      <c r="O528" s="23">
        <f>IF(COUNT(H528:N528)=0,"",MAX(H528:N528))</f>
        <v/>
      </c>
      <c r="P528" s="24">
        <f>IF(O528="","",INDEX($H$3:$N$3,MATCH(O528,H528:N528,0)))</f>
        <v/>
      </c>
      <c r="Q528" s="23">
        <f>IF(Refino!$L$29="","",G528*Refino!$L$29*(1-RetCraft))</f>
        <v/>
      </c>
      <c r="R528" s="25">
        <f>IF(Artefatos!$L$62="","",Artefatos!$L$62*(1+TaxaCompra))</f>
        <v/>
      </c>
      <c r="S528">
        <f>IF(Artefatos!$M$62="","",Artefatos!$M$62)</f>
        <v/>
      </c>
      <c r="T528" s="25">
        <f>G528*Refino!$D$29+Artefatos!$F$62</f>
        <v/>
      </c>
      <c r="U528" s="25">
        <f>T528*0.1125*FeeCraft/100</f>
        <v/>
      </c>
      <c r="V528" s="23">
        <f>IF(OR(Q528="",R528=""),"",Q528+R528+U528)</f>
        <v/>
      </c>
      <c r="W528" s="23">
        <f>IF(O528="","",O528*(1-TaxaVenda))</f>
        <v/>
      </c>
      <c r="X528" s="26">
        <f>IF(OR(V528="",W528=""),"",W528-V528)</f>
        <v/>
      </c>
      <c r="Y528" s="27">
        <f>IF(X528="","",X528/V528)</f>
        <v/>
      </c>
    </row>
    <row r="529">
      <c r="A529" t="inlineStr">
        <is>
          <t>Valor|Armadura|T4.0</t>
        </is>
      </c>
      <c r="B529" t="inlineStr">
        <is>
          <t>Valor</t>
        </is>
      </c>
      <c r="C529" t="inlineStr">
        <is>
          <t>Armadura</t>
        </is>
      </c>
      <c r="D529" t="inlineStr">
        <is>
          <t>T4.0</t>
        </is>
      </c>
      <c r="E529" t="n">
        <v>4</v>
      </c>
      <c r="F529" t="n">
        <v>0</v>
      </c>
      <c r="G529" t="n">
        <v>16</v>
      </c>
      <c r="H529" s="22" t="n"/>
      <c r="I529" s="22" t="n"/>
      <c r="J529" s="22" t="n"/>
      <c r="K529" s="22" t="n"/>
      <c r="L529" s="22" t="n"/>
      <c r="M529" s="22" t="n"/>
      <c r="N529" s="22" t="n"/>
      <c r="O529" s="23">
        <f>IF(COUNT(H529:N529)=0,"",MAX(H529:N529))</f>
        <v/>
      </c>
      <c r="P529" s="24">
        <f>IF(O529="","",INDEX($H$3:$N$3,MATCH(O529,H529:N529,0)))</f>
        <v/>
      </c>
      <c r="Q529" s="23">
        <f>IF(Refino!$L$5="","",G529*Refino!$L$5*(1-RetCraft))</f>
        <v/>
      </c>
      <c r="R529" s="25">
        <f>IF(Artefatos!$L$63="","",Artefatos!$L$63*(1+TaxaCompra))</f>
        <v/>
      </c>
      <c r="S529">
        <f>IF(Artefatos!$M$63="","",Artefatos!$M$63)</f>
        <v/>
      </c>
      <c r="T529" s="25">
        <f>G529*Refino!$D$5+Artefatos!$F$63</f>
        <v/>
      </c>
      <c r="U529" s="25">
        <f>T529*0.1125*FeeCraft/100</f>
        <v/>
      </c>
      <c r="V529" s="23">
        <f>IF(OR(Q529="",R529=""),"",Q529+R529+U529)</f>
        <v/>
      </c>
      <c r="W529" s="23">
        <f>IF(O529="","",O529*(1-TaxaVenda))</f>
        <v/>
      </c>
      <c r="X529" s="26">
        <f>IF(OR(V529="",W529=""),"",W529-V529)</f>
        <v/>
      </c>
      <c r="Y529" s="27">
        <f>IF(X529="","",X529/V529)</f>
        <v/>
      </c>
    </row>
    <row r="530">
      <c r="A530" t="inlineStr">
        <is>
          <t>Valor|Armadura|T4.1</t>
        </is>
      </c>
      <c r="B530" t="inlineStr">
        <is>
          <t>Valor</t>
        </is>
      </c>
      <c r="C530" t="inlineStr">
        <is>
          <t>Armadura</t>
        </is>
      </c>
      <c r="D530" t="inlineStr">
        <is>
          <t>T4.1</t>
        </is>
      </c>
      <c r="E530" t="n">
        <v>4</v>
      </c>
      <c r="F530" t="n">
        <v>1</v>
      </c>
      <c r="G530" t="n">
        <v>16</v>
      </c>
      <c r="H530" s="22" t="n"/>
      <c r="I530" s="22" t="n"/>
      <c r="J530" s="22" t="n"/>
      <c r="K530" s="22" t="n"/>
      <c r="L530" s="22" t="n"/>
      <c r="M530" s="22" t="n"/>
      <c r="N530" s="22" t="n"/>
      <c r="O530" s="23">
        <f>IF(COUNT(H530:N530)=0,"",MAX(H530:N530))</f>
        <v/>
      </c>
      <c r="P530" s="24">
        <f>IF(O530="","",INDEX($H$3:$N$3,MATCH(O530,H530:N530,0)))</f>
        <v/>
      </c>
      <c r="Q530" s="23">
        <f>IF(Refino!$L$6="","",G530*Refino!$L$6*(1-RetCraft))</f>
        <v/>
      </c>
      <c r="R530" s="25">
        <f>IF(Artefatos!$L$63="","",Artefatos!$L$63*(1+TaxaCompra))</f>
        <v/>
      </c>
      <c r="S530">
        <f>IF(Artefatos!$M$63="","",Artefatos!$M$63)</f>
        <v/>
      </c>
      <c r="T530" s="25">
        <f>G530*Refino!$D$6+Artefatos!$F$63</f>
        <v/>
      </c>
      <c r="U530" s="25">
        <f>T530*0.1125*FeeCraft/100</f>
        <v/>
      </c>
      <c r="V530" s="23">
        <f>IF(OR(Q530="",R530=""),"",Q530+R530+U530)</f>
        <v/>
      </c>
      <c r="W530" s="23">
        <f>IF(O530="","",O530*(1-TaxaVenda))</f>
        <v/>
      </c>
      <c r="X530" s="26">
        <f>IF(OR(V530="",W530=""),"",W530-V530)</f>
        <v/>
      </c>
      <c r="Y530" s="27">
        <f>IF(X530="","",X530/V530)</f>
        <v/>
      </c>
    </row>
    <row r="531">
      <c r="A531" t="inlineStr">
        <is>
          <t>Valor|Armadura|T4.2</t>
        </is>
      </c>
      <c r="B531" t="inlineStr">
        <is>
          <t>Valor</t>
        </is>
      </c>
      <c r="C531" t="inlineStr">
        <is>
          <t>Armadura</t>
        </is>
      </c>
      <c r="D531" t="inlineStr">
        <is>
          <t>T4.2</t>
        </is>
      </c>
      <c r="E531" t="n">
        <v>4</v>
      </c>
      <c r="F531" t="n">
        <v>2</v>
      </c>
      <c r="G531" t="n">
        <v>16</v>
      </c>
      <c r="H531" s="22" t="n"/>
      <c r="I531" s="22" t="n"/>
      <c r="J531" s="22" t="n"/>
      <c r="K531" s="22" t="n"/>
      <c r="L531" s="22" t="n"/>
      <c r="M531" s="22" t="n"/>
      <c r="N531" s="22" t="n"/>
      <c r="O531" s="23">
        <f>IF(COUNT(H531:N531)=0,"",MAX(H531:N531))</f>
        <v/>
      </c>
      <c r="P531" s="24">
        <f>IF(O531="","",INDEX($H$3:$N$3,MATCH(O531,H531:N531,0)))</f>
        <v/>
      </c>
      <c r="Q531" s="23">
        <f>IF(Refino!$L$7="","",G531*Refino!$L$7*(1-RetCraft))</f>
        <v/>
      </c>
      <c r="R531" s="25">
        <f>IF(Artefatos!$L$63="","",Artefatos!$L$63*(1+TaxaCompra))</f>
        <v/>
      </c>
      <c r="S531">
        <f>IF(Artefatos!$M$63="","",Artefatos!$M$63)</f>
        <v/>
      </c>
      <c r="T531" s="25">
        <f>G531*Refino!$D$7+Artefatos!$F$63</f>
        <v/>
      </c>
      <c r="U531" s="25">
        <f>T531*0.1125*FeeCraft/100</f>
        <v/>
      </c>
      <c r="V531" s="23">
        <f>IF(OR(Q531="",R531=""),"",Q531+R531+U531)</f>
        <v/>
      </c>
      <c r="W531" s="23">
        <f>IF(O531="","",O531*(1-TaxaVenda))</f>
        <v/>
      </c>
      <c r="X531" s="26">
        <f>IF(OR(V531="",W531=""),"",W531-V531)</f>
        <v/>
      </c>
      <c r="Y531" s="27">
        <f>IF(X531="","",X531/V531)</f>
        <v/>
      </c>
    </row>
    <row r="532">
      <c r="A532" t="inlineStr">
        <is>
          <t>Valor|Armadura|T4.3</t>
        </is>
      </c>
      <c r="B532" t="inlineStr">
        <is>
          <t>Valor</t>
        </is>
      </c>
      <c r="C532" t="inlineStr">
        <is>
          <t>Armadura</t>
        </is>
      </c>
      <c r="D532" t="inlineStr">
        <is>
          <t>T4.3</t>
        </is>
      </c>
      <c r="E532" t="n">
        <v>4</v>
      </c>
      <c r="F532" t="n">
        <v>3</v>
      </c>
      <c r="G532" t="n">
        <v>16</v>
      </c>
      <c r="H532" s="22" t="n"/>
      <c r="I532" s="22" t="n"/>
      <c r="J532" s="22" t="n"/>
      <c r="K532" s="22" t="n"/>
      <c r="L532" s="22" t="n"/>
      <c r="M532" s="22" t="n"/>
      <c r="N532" s="22" t="n"/>
      <c r="O532" s="23">
        <f>IF(COUNT(H532:N532)=0,"",MAX(H532:N532))</f>
        <v/>
      </c>
      <c r="P532" s="24">
        <f>IF(O532="","",INDEX($H$3:$N$3,MATCH(O532,H532:N532,0)))</f>
        <v/>
      </c>
      <c r="Q532" s="23">
        <f>IF(Refino!$L$8="","",G532*Refino!$L$8*(1-RetCraft))</f>
        <v/>
      </c>
      <c r="R532" s="25">
        <f>IF(Artefatos!$L$63="","",Artefatos!$L$63*(1+TaxaCompra))</f>
        <v/>
      </c>
      <c r="S532">
        <f>IF(Artefatos!$M$63="","",Artefatos!$M$63)</f>
        <v/>
      </c>
      <c r="T532" s="25">
        <f>G532*Refino!$D$8+Artefatos!$F$63</f>
        <v/>
      </c>
      <c r="U532" s="25">
        <f>T532*0.1125*FeeCraft/100</f>
        <v/>
      </c>
      <c r="V532" s="23">
        <f>IF(OR(Q532="",R532=""),"",Q532+R532+U532)</f>
        <v/>
      </c>
      <c r="W532" s="23">
        <f>IF(O532="","",O532*(1-TaxaVenda))</f>
        <v/>
      </c>
      <c r="X532" s="26">
        <f>IF(OR(V532="",W532=""),"",W532-V532)</f>
        <v/>
      </c>
      <c r="Y532" s="27">
        <f>IF(X532="","",X532/V532)</f>
        <v/>
      </c>
    </row>
    <row r="533">
      <c r="A533" t="inlineStr">
        <is>
          <t>Valor|Armadura|T4.4</t>
        </is>
      </c>
      <c r="B533" t="inlineStr">
        <is>
          <t>Valor</t>
        </is>
      </c>
      <c r="C533" t="inlineStr">
        <is>
          <t>Armadura</t>
        </is>
      </c>
      <c r="D533" t="inlineStr">
        <is>
          <t>T4.4</t>
        </is>
      </c>
      <c r="E533" t="n">
        <v>4</v>
      </c>
      <c r="F533" t="n">
        <v>4</v>
      </c>
      <c r="G533" t="n">
        <v>16</v>
      </c>
      <c r="H533" s="22" t="n"/>
      <c r="I533" s="22" t="n"/>
      <c r="J533" s="22" t="n"/>
      <c r="K533" s="22" t="n"/>
      <c r="L533" s="22" t="n"/>
      <c r="M533" s="22" t="n"/>
      <c r="N533" s="22" t="n"/>
      <c r="O533" s="23">
        <f>IF(COUNT(H533:N533)=0,"",MAX(H533:N533))</f>
        <v/>
      </c>
      <c r="P533" s="24">
        <f>IF(O533="","",INDEX($H$3:$N$3,MATCH(O533,H533:N533,0)))</f>
        <v/>
      </c>
      <c r="Q533" s="23">
        <f>IF(Refino!$L$9="","",G533*Refino!$L$9*(1-RetCraft))</f>
        <v/>
      </c>
      <c r="R533" s="25">
        <f>IF(Artefatos!$L$63="","",Artefatos!$L$63*(1+TaxaCompra))</f>
        <v/>
      </c>
      <c r="S533">
        <f>IF(Artefatos!$M$63="","",Artefatos!$M$63)</f>
        <v/>
      </c>
      <c r="T533" s="25">
        <f>G533*Refino!$D$9+Artefatos!$F$63</f>
        <v/>
      </c>
      <c r="U533" s="25">
        <f>T533*0.1125*FeeCraft/100</f>
        <v/>
      </c>
      <c r="V533" s="23">
        <f>IF(OR(Q533="",R533=""),"",Q533+R533+U533)</f>
        <v/>
      </c>
      <c r="W533" s="23">
        <f>IF(O533="","",O533*(1-TaxaVenda))</f>
        <v/>
      </c>
      <c r="X533" s="26">
        <f>IF(OR(V533="",W533=""),"",W533-V533)</f>
        <v/>
      </c>
      <c r="Y533" s="27">
        <f>IF(X533="","",X533/V533)</f>
        <v/>
      </c>
    </row>
    <row r="534">
      <c r="A534" t="inlineStr">
        <is>
          <t>Valor|Armadura|T5.0</t>
        </is>
      </c>
      <c r="B534" t="inlineStr">
        <is>
          <t>Valor</t>
        </is>
      </c>
      <c r="C534" t="inlineStr">
        <is>
          <t>Armadura</t>
        </is>
      </c>
      <c r="D534" t="inlineStr">
        <is>
          <t>T5.0</t>
        </is>
      </c>
      <c r="E534" t="n">
        <v>5</v>
      </c>
      <c r="F534" t="n">
        <v>0</v>
      </c>
      <c r="G534" t="n">
        <v>16</v>
      </c>
      <c r="H534" s="22" t="n"/>
      <c r="I534" s="22" t="n"/>
      <c r="J534" s="22" t="n"/>
      <c r="K534" s="22" t="n"/>
      <c r="L534" s="22" t="n"/>
      <c r="M534" s="22" t="n"/>
      <c r="N534" s="22" t="n"/>
      <c r="O534" s="23">
        <f>IF(COUNT(H534:N534)=0,"",MAX(H534:N534))</f>
        <v/>
      </c>
      <c r="P534" s="24">
        <f>IF(O534="","",INDEX($H$3:$N$3,MATCH(O534,H534:N534,0)))</f>
        <v/>
      </c>
      <c r="Q534" s="23">
        <f>IF(Refino!$L$10="","",G534*Refino!$L$10*(1-RetCraft))</f>
        <v/>
      </c>
      <c r="R534" s="25">
        <f>IF(Artefatos!$L$64="","",Artefatos!$L$64*(1+TaxaCompra))</f>
        <v/>
      </c>
      <c r="S534">
        <f>IF(Artefatos!$M$64="","",Artefatos!$M$64)</f>
        <v/>
      </c>
      <c r="T534" s="25">
        <f>G534*Refino!$D$10+Artefatos!$F$64</f>
        <v/>
      </c>
      <c r="U534" s="25">
        <f>T534*0.1125*FeeCraft/100</f>
        <v/>
      </c>
      <c r="V534" s="23">
        <f>IF(OR(Q534="",R534=""),"",Q534+R534+U534)</f>
        <v/>
      </c>
      <c r="W534" s="23">
        <f>IF(O534="","",O534*(1-TaxaVenda))</f>
        <v/>
      </c>
      <c r="X534" s="26">
        <f>IF(OR(V534="",W534=""),"",W534-V534)</f>
        <v/>
      </c>
      <c r="Y534" s="27">
        <f>IF(X534="","",X534/V534)</f>
        <v/>
      </c>
    </row>
    <row r="535">
      <c r="A535" t="inlineStr">
        <is>
          <t>Valor|Armadura|T5.1</t>
        </is>
      </c>
      <c r="B535" t="inlineStr">
        <is>
          <t>Valor</t>
        </is>
      </c>
      <c r="C535" t="inlineStr">
        <is>
          <t>Armadura</t>
        </is>
      </c>
      <c r="D535" t="inlineStr">
        <is>
          <t>T5.1</t>
        </is>
      </c>
      <c r="E535" t="n">
        <v>5</v>
      </c>
      <c r="F535" t="n">
        <v>1</v>
      </c>
      <c r="G535" t="n">
        <v>16</v>
      </c>
      <c r="H535" s="22" t="n"/>
      <c r="I535" s="22" t="n"/>
      <c r="J535" s="22" t="n"/>
      <c r="K535" s="22" t="n"/>
      <c r="L535" s="22" t="n"/>
      <c r="M535" s="22" t="n"/>
      <c r="N535" s="22" t="n"/>
      <c r="O535" s="23">
        <f>IF(COUNT(H535:N535)=0,"",MAX(H535:N535))</f>
        <v/>
      </c>
      <c r="P535" s="24">
        <f>IF(O535="","",INDEX($H$3:$N$3,MATCH(O535,H535:N535,0)))</f>
        <v/>
      </c>
      <c r="Q535" s="23">
        <f>IF(Refino!$L$11="","",G535*Refino!$L$11*(1-RetCraft))</f>
        <v/>
      </c>
      <c r="R535" s="25">
        <f>IF(Artefatos!$L$64="","",Artefatos!$L$64*(1+TaxaCompra))</f>
        <v/>
      </c>
      <c r="S535">
        <f>IF(Artefatos!$M$64="","",Artefatos!$M$64)</f>
        <v/>
      </c>
      <c r="T535" s="25">
        <f>G535*Refino!$D$11+Artefatos!$F$64</f>
        <v/>
      </c>
      <c r="U535" s="25">
        <f>T535*0.1125*FeeCraft/100</f>
        <v/>
      </c>
      <c r="V535" s="23">
        <f>IF(OR(Q535="",R535=""),"",Q535+R535+U535)</f>
        <v/>
      </c>
      <c r="W535" s="23">
        <f>IF(O535="","",O535*(1-TaxaVenda))</f>
        <v/>
      </c>
      <c r="X535" s="26">
        <f>IF(OR(V535="",W535=""),"",W535-V535)</f>
        <v/>
      </c>
      <c r="Y535" s="27">
        <f>IF(X535="","",X535/V535)</f>
        <v/>
      </c>
    </row>
    <row r="536">
      <c r="A536" t="inlineStr">
        <is>
          <t>Valor|Armadura|T5.2</t>
        </is>
      </c>
      <c r="B536" t="inlineStr">
        <is>
          <t>Valor</t>
        </is>
      </c>
      <c r="C536" t="inlineStr">
        <is>
          <t>Armadura</t>
        </is>
      </c>
      <c r="D536" t="inlineStr">
        <is>
          <t>T5.2</t>
        </is>
      </c>
      <c r="E536" t="n">
        <v>5</v>
      </c>
      <c r="F536" t="n">
        <v>2</v>
      </c>
      <c r="G536" t="n">
        <v>16</v>
      </c>
      <c r="H536" s="22" t="n"/>
      <c r="I536" s="22" t="n"/>
      <c r="J536" s="22" t="n"/>
      <c r="K536" s="22" t="n"/>
      <c r="L536" s="22" t="n"/>
      <c r="M536" s="22" t="n"/>
      <c r="N536" s="22" t="n"/>
      <c r="O536" s="23">
        <f>IF(COUNT(H536:N536)=0,"",MAX(H536:N536))</f>
        <v/>
      </c>
      <c r="P536" s="24">
        <f>IF(O536="","",INDEX($H$3:$N$3,MATCH(O536,H536:N536,0)))</f>
        <v/>
      </c>
      <c r="Q536" s="23">
        <f>IF(Refino!$L$12="","",G536*Refino!$L$12*(1-RetCraft))</f>
        <v/>
      </c>
      <c r="R536" s="25">
        <f>IF(Artefatos!$L$64="","",Artefatos!$L$64*(1+TaxaCompra))</f>
        <v/>
      </c>
      <c r="S536">
        <f>IF(Artefatos!$M$64="","",Artefatos!$M$64)</f>
        <v/>
      </c>
      <c r="T536" s="25">
        <f>G536*Refino!$D$12+Artefatos!$F$64</f>
        <v/>
      </c>
      <c r="U536" s="25">
        <f>T536*0.1125*FeeCraft/100</f>
        <v/>
      </c>
      <c r="V536" s="23">
        <f>IF(OR(Q536="",R536=""),"",Q536+R536+U536)</f>
        <v/>
      </c>
      <c r="W536" s="23">
        <f>IF(O536="","",O536*(1-TaxaVenda))</f>
        <v/>
      </c>
      <c r="X536" s="26">
        <f>IF(OR(V536="",W536=""),"",W536-V536)</f>
        <v/>
      </c>
      <c r="Y536" s="27">
        <f>IF(X536="","",X536/V536)</f>
        <v/>
      </c>
    </row>
    <row r="537">
      <c r="A537" t="inlineStr">
        <is>
          <t>Valor|Armadura|T5.3</t>
        </is>
      </c>
      <c r="B537" t="inlineStr">
        <is>
          <t>Valor</t>
        </is>
      </c>
      <c r="C537" t="inlineStr">
        <is>
          <t>Armadura</t>
        </is>
      </c>
      <c r="D537" t="inlineStr">
        <is>
          <t>T5.3</t>
        </is>
      </c>
      <c r="E537" t="n">
        <v>5</v>
      </c>
      <c r="F537" t="n">
        <v>3</v>
      </c>
      <c r="G537" t="n">
        <v>16</v>
      </c>
      <c r="H537" s="22" t="n"/>
      <c r="I537" s="22" t="n"/>
      <c r="J537" s="22" t="n"/>
      <c r="K537" s="22" t="n"/>
      <c r="L537" s="22" t="n"/>
      <c r="M537" s="22" t="n"/>
      <c r="N537" s="22" t="n"/>
      <c r="O537" s="23">
        <f>IF(COUNT(H537:N537)=0,"",MAX(H537:N537))</f>
        <v/>
      </c>
      <c r="P537" s="24">
        <f>IF(O537="","",INDEX($H$3:$N$3,MATCH(O537,H537:N537,0)))</f>
        <v/>
      </c>
      <c r="Q537" s="23">
        <f>IF(Refino!$L$13="","",G537*Refino!$L$13*(1-RetCraft))</f>
        <v/>
      </c>
      <c r="R537" s="25">
        <f>IF(Artefatos!$L$64="","",Artefatos!$L$64*(1+TaxaCompra))</f>
        <v/>
      </c>
      <c r="S537">
        <f>IF(Artefatos!$M$64="","",Artefatos!$M$64)</f>
        <v/>
      </c>
      <c r="T537" s="25">
        <f>G537*Refino!$D$13+Artefatos!$F$64</f>
        <v/>
      </c>
      <c r="U537" s="25">
        <f>T537*0.1125*FeeCraft/100</f>
        <v/>
      </c>
      <c r="V537" s="23">
        <f>IF(OR(Q537="",R537=""),"",Q537+R537+U537)</f>
        <v/>
      </c>
      <c r="W537" s="23">
        <f>IF(O537="","",O537*(1-TaxaVenda))</f>
        <v/>
      </c>
      <c r="X537" s="26">
        <f>IF(OR(V537="",W537=""),"",W537-V537)</f>
        <v/>
      </c>
      <c r="Y537" s="27">
        <f>IF(X537="","",X537/V537)</f>
        <v/>
      </c>
    </row>
    <row r="538">
      <c r="A538" t="inlineStr">
        <is>
          <t>Valor|Armadura|T5.4</t>
        </is>
      </c>
      <c r="B538" t="inlineStr">
        <is>
          <t>Valor</t>
        </is>
      </c>
      <c r="C538" t="inlineStr">
        <is>
          <t>Armadura</t>
        </is>
      </c>
      <c r="D538" t="inlineStr">
        <is>
          <t>T5.4</t>
        </is>
      </c>
      <c r="E538" t="n">
        <v>5</v>
      </c>
      <c r="F538" t="n">
        <v>4</v>
      </c>
      <c r="G538" t="n">
        <v>16</v>
      </c>
      <c r="H538" s="22" t="n"/>
      <c r="I538" s="22" t="n"/>
      <c r="J538" s="22" t="n"/>
      <c r="K538" s="22" t="n"/>
      <c r="L538" s="22" t="n"/>
      <c r="M538" s="22" t="n"/>
      <c r="N538" s="22" t="n"/>
      <c r="O538" s="23">
        <f>IF(COUNT(H538:N538)=0,"",MAX(H538:N538))</f>
        <v/>
      </c>
      <c r="P538" s="24">
        <f>IF(O538="","",INDEX($H$3:$N$3,MATCH(O538,H538:N538,0)))</f>
        <v/>
      </c>
      <c r="Q538" s="23">
        <f>IF(Refino!$L$14="","",G538*Refino!$L$14*(1-RetCraft))</f>
        <v/>
      </c>
      <c r="R538" s="25">
        <f>IF(Artefatos!$L$64="","",Artefatos!$L$64*(1+TaxaCompra))</f>
        <v/>
      </c>
      <c r="S538">
        <f>IF(Artefatos!$M$64="","",Artefatos!$M$64)</f>
        <v/>
      </c>
      <c r="T538" s="25">
        <f>G538*Refino!$D$14+Artefatos!$F$64</f>
        <v/>
      </c>
      <c r="U538" s="25">
        <f>T538*0.1125*FeeCraft/100</f>
        <v/>
      </c>
      <c r="V538" s="23">
        <f>IF(OR(Q538="",R538=""),"",Q538+R538+U538)</f>
        <v/>
      </c>
      <c r="W538" s="23">
        <f>IF(O538="","",O538*(1-TaxaVenda))</f>
        <v/>
      </c>
      <c r="X538" s="26">
        <f>IF(OR(V538="",W538=""),"",W538-V538)</f>
        <v/>
      </c>
      <c r="Y538" s="27">
        <f>IF(X538="","",X538/V538)</f>
        <v/>
      </c>
    </row>
    <row r="539">
      <c r="A539" t="inlineStr">
        <is>
          <t>Valor|Armadura|T6.0</t>
        </is>
      </c>
      <c r="B539" t="inlineStr">
        <is>
          <t>Valor</t>
        </is>
      </c>
      <c r="C539" t="inlineStr">
        <is>
          <t>Armadura</t>
        </is>
      </c>
      <c r="D539" t="inlineStr">
        <is>
          <t>T6.0</t>
        </is>
      </c>
      <c r="E539" t="n">
        <v>6</v>
      </c>
      <c r="F539" t="n">
        <v>0</v>
      </c>
      <c r="G539" t="n">
        <v>16</v>
      </c>
      <c r="H539" s="22" t="n"/>
      <c r="I539" s="22" t="n"/>
      <c r="J539" s="22" t="n"/>
      <c r="K539" s="22" t="n"/>
      <c r="L539" s="22" t="n"/>
      <c r="M539" s="22" t="n"/>
      <c r="N539" s="22" t="n"/>
      <c r="O539" s="23">
        <f>IF(COUNT(H539:N539)=0,"",MAX(H539:N539))</f>
        <v/>
      </c>
      <c r="P539" s="24">
        <f>IF(O539="","",INDEX($H$3:$N$3,MATCH(O539,H539:N539,0)))</f>
        <v/>
      </c>
      <c r="Q539" s="23">
        <f>IF(Refino!$L$15="","",G539*Refino!$L$15*(1-RetCraft))</f>
        <v/>
      </c>
      <c r="R539" s="25">
        <f>IF(Artefatos!$L$65="","",Artefatos!$L$65*(1+TaxaCompra))</f>
        <v/>
      </c>
      <c r="S539">
        <f>IF(Artefatos!$M$65="","",Artefatos!$M$65)</f>
        <v/>
      </c>
      <c r="T539" s="25">
        <f>G539*Refino!$D$15+Artefatos!$F$65</f>
        <v/>
      </c>
      <c r="U539" s="25">
        <f>T539*0.1125*FeeCraft/100</f>
        <v/>
      </c>
      <c r="V539" s="23">
        <f>IF(OR(Q539="",R539=""),"",Q539+R539+U539)</f>
        <v/>
      </c>
      <c r="W539" s="23">
        <f>IF(O539="","",O539*(1-TaxaVenda))</f>
        <v/>
      </c>
      <c r="X539" s="26">
        <f>IF(OR(V539="",W539=""),"",W539-V539)</f>
        <v/>
      </c>
      <c r="Y539" s="27">
        <f>IF(X539="","",X539/V539)</f>
        <v/>
      </c>
    </row>
    <row r="540">
      <c r="A540" t="inlineStr">
        <is>
          <t>Valor|Armadura|T6.1</t>
        </is>
      </c>
      <c r="B540" t="inlineStr">
        <is>
          <t>Valor</t>
        </is>
      </c>
      <c r="C540" t="inlineStr">
        <is>
          <t>Armadura</t>
        </is>
      </c>
      <c r="D540" t="inlineStr">
        <is>
          <t>T6.1</t>
        </is>
      </c>
      <c r="E540" t="n">
        <v>6</v>
      </c>
      <c r="F540" t="n">
        <v>1</v>
      </c>
      <c r="G540" t="n">
        <v>16</v>
      </c>
      <c r="H540" s="22" t="n"/>
      <c r="I540" s="22" t="n"/>
      <c r="J540" s="22" t="n"/>
      <c r="K540" s="22" t="n"/>
      <c r="L540" s="22" t="n"/>
      <c r="M540" s="22" t="n"/>
      <c r="N540" s="22" t="n"/>
      <c r="O540" s="23">
        <f>IF(COUNT(H540:N540)=0,"",MAX(H540:N540))</f>
        <v/>
      </c>
      <c r="P540" s="24">
        <f>IF(O540="","",INDEX($H$3:$N$3,MATCH(O540,H540:N540,0)))</f>
        <v/>
      </c>
      <c r="Q540" s="23">
        <f>IF(Refino!$L$16="","",G540*Refino!$L$16*(1-RetCraft))</f>
        <v/>
      </c>
      <c r="R540" s="25">
        <f>IF(Artefatos!$L$65="","",Artefatos!$L$65*(1+TaxaCompra))</f>
        <v/>
      </c>
      <c r="S540">
        <f>IF(Artefatos!$M$65="","",Artefatos!$M$65)</f>
        <v/>
      </c>
      <c r="T540" s="25">
        <f>G540*Refino!$D$16+Artefatos!$F$65</f>
        <v/>
      </c>
      <c r="U540" s="25">
        <f>T540*0.1125*FeeCraft/100</f>
        <v/>
      </c>
      <c r="V540" s="23">
        <f>IF(OR(Q540="",R540=""),"",Q540+R540+U540)</f>
        <v/>
      </c>
      <c r="W540" s="23">
        <f>IF(O540="","",O540*(1-TaxaVenda))</f>
        <v/>
      </c>
      <c r="X540" s="26">
        <f>IF(OR(V540="",W540=""),"",W540-V540)</f>
        <v/>
      </c>
      <c r="Y540" s="27">
        <f>IF(X540="","",X540/V540)</f>
        <v/>
      </c>
    </row>
    <row r="541">
      <c r="A541" t="inlineStr">
        <is>
          <t>Valor|Armadura|T6.2</t>
        </is>
      </c>
      <c r="B541" t="inlineStr">
        <is>
          <t>Valor</t>
        </is>
      </c>
      <c r="C541" t="inlineStr">
        <is>
          <t>Armadura</t>
        </is>
      </c>
      <c r="D541" t="inlineStr">
        <is>
          <t>T6.2</t>
        </is>
      </c>
      <c r="E541" t="n">
        <v>6</v>
      </c>
      <c r="F541" t="n">
        <v>2</v>
      </c>
      <c r="G541" t="n">
        <v>16</v>
      </c>
      <c r="H541" s="22" t="n"/>
      <c r="I541" s="22" t="n"/>
      <c r="J541" s="22" t="n"/>
      <c r="K541" s="22" t="n"/>
      <c r="L541" s="22" t="n"/>
      <c r="M541" s="22" t="n"/>
      <c r="N541" s="22" t="n"/>
      <c r="O541" s="23">
        <f>IF(COUNT(H541:N541)=0,"",MAX(H541:N541))</f>
        <v/>
      </c>
      <c r="P541" s="24">
        <f>IF(O541="","",INDEX($H$3:$N$3,MATCH(O541,H541:N541,0)))</f>
        <v/>
      </c>
      <c r="Q541" s="23">
        <f>IF(Refino!$L$17="","",G541*Refino!$L$17*(1-RetCraft))</f>
        <v/>
      </c>
      <c r="R541" s="25">
        <f>IF(Artefatos!$L$65="","",Artefatos!$L$65*(1+TaxaCompra))</f>
        <v/>
      </c>
      <c r="S541">
        <f>IF(Artefatos!$M$65="","",Artefatos!$M$65)</f>
        <v/>
      </c>
      <c r="T541" s="25">
        <f>G541*Refino!$D$17+Artefatos!$F$65</f>
        <v/>
      </c>
      <c r="U541" s="25">
        <f>T541*0.1125*FeeCraft/100</f>
        <v/>
      </c>
      <c r="V541" s="23">
        <f>IF(OR(Q541="",R541=""),"",Q541+R541+U541)</f>
        <v/>
      </c>
      <c r="W541" s="23">
        <f>IF(O541="","",O541*(1-TaxaVenda))</f>
        <v/>
      </c>
      <c r="X541" s="26">
        <f>IF(OR(V541="",W541=""),"",W541-V541)</f>
        <v/>
      </c>
      <c r="Y541" s="27">
        <f>IF(X541="","",X541/V541)</f>
        <v/>
      </c>
    </row>
    <row r="542">
      <c r="A542" t="inlineStr">
        <is>
          <t>Valor|Armadura|T6.3</t>
        </is>
      </c>
      <c r="B542" t="inlineStr">
        <is>
          <t>Valor</t>
        </is>
      </c>
      <c r="C542" t="inlineStr">
        <is>
          <t>Armadura</t>
        </is>
      </c>
      <c r="D542" t="inlineStr">
        <is>
          <t>T6.3</t>
        </is>
      </c>
      <c r="E542" t="n">
        <v>6</v>
      </c>
      <c r="F542" t="n">
        <v>3</v>
      </c>
      <c r="G542" t="n">
        <v>16</v>
      </c>
      <c r="H542" s="22" t="n"/>
      <c r="I542" s="22" t="n"/>
      <c r="J542" s="22" t="n"/>
      <c r="K542" s="22" t="n"/>
      <c r="L542" s="22" t="n"/>
      <c r="M542" s="22" t="n"/>
      <c r="N542" s="22" t="n"/>
      <c r="O542" s="23">
        <f>IF(COUNT(H542:N542)=0,"",MAX(H542:N542))</f>
        <v/>
      </c>
      <c r="P542" s="24">
        <f>IF(O542="","",INDEX($H$3:$N$3,MATCH(O542,H542:N542,0)))</f>
        <v/>
      </c>
      <c r="Q542" s="23">
        <f>IF(Refino!$L$18="","",G542*Refino!$L$18*(1-RetCraft))</f>
        <v/>
      </c>
      <c r="R542" s="25">
        <f>IF(Artefatos!$L$65="","",Artefatos!$L$65*(1+TaxaCompra))</f>
        <v/>
      </c>
      <c r="S542">
        <f>IF(Artefatos!$M$65="","",Artefatos!$M$65)</f>
        <v/>
      </c>
      <c r="T542" s="25">
        <f>G542*Refino!$D$18+Artefatos!$F$65</f>
        <v/>
      </c>
      <c r="U542" s="25">
        <f>T542*0.1125*FeeCraft/100</f>
        <v/>
      </c>
      <c r="V542" s="23">
        <f>IF(OR(Q542="",R542=""),"",Q542+R542+U542)</f>
        <v/>
      </c>
      <c r="W542" s="23">
        <f>IF(O542="","",O542*(1-TaxaVenda))</f>
        <v/>
      </c>
      <c r="X542" s="26">
        <f>IF(OR(V542="",W542=""),"",W542-V542)</f>
        <v/>
      </c>
      <c r="Y542" s="27">
        <f>IF(X542="","",X542/V542)</f>
        <v/>
      </c>
    </row>
    <row r="543">
      <c r="A543" t="inlineStr">
        <is>
          <t>Valor|Armadura|T6.4</t>
        </is>
      </c>
      <c r="B543" t="inlineStr">
        <is>
          <t>Valor</t>
        </is>
      </c>
      <c r="C543" t="inlineStr">
        <is>
          <t>Armadura</t>
        </is>
      </c>
      <c r="D543" t="inlineStr">
        <is>
          <t>T6.4</t>
        </is>
      </c>
      <c r="E543" t="n">
        <v>6</v>
      </c>
      <c r="F543" t="n">
        <v>4</v>
      </c>
      <c r="G543" t="n">
        <v>16</v>
      </c>
      <c r="H543" s="22" t="n"/>
      <c r="I543" s="22" t="n"/>
      <c r="J543" s="22" t="n"/>
      <c r="K543" s="22" t="n"/>
      <c r="L543" s="22" t="n"/>
      <c r="M543" s="22" t="n"/>
      <c r="N543" s="22" t="n"/>
      <c r="O543" s="23">
        <f>IF(COUNT(H543:N543)=0,"",MAX(H543:N543))</f>
        <v/>
      </c>
      <c r="P543" s="24">
        <f>IF(O543="","",INDEX($H$3:$N$3,MATCH(O543,H543:N543,0)))</f>
        <v/>
      </c>
      <c r="Q543" s="23">
        <f>IF(Refino!$L$19="","",G543*Refino!$L$19*(1-RetCraft))</f>
        <v/>
      </c>
      <c r="R543" s="25">
        <f>IF(Artefatos!$L$65="","",Artefatos!$L$65*(1+TaxaCompra))</f>
        <v/>
      </c>
      <c r="S543">
        <f>IF(Artefatos!$M$65="","",Artefatos!$M$65)</f>
        <v/>
      </c>
      <c r="T543" s="25">
        <f>G543*Refino!$D$19+Artefatos!$F$65</f>
        <v/>
      </c>
      <c r="U543" s="25">
        <f>T543*0.1125*FeeCraft/100</f>
        <v/>
      </c>
      <c r="V543" s="23">
        <f>IF(OR(Q543="",R543=""),"",Q543+R543+U543)</f>
        <v/>
      </c>
      <c r="W543" s="23">
        <f>IF(O543="","",O543*(1-TaxaVenda))</f>
        <v/>
      </c>
      <c r="X543" s="26">
        <f>IF(OR(V543="",W543=""),"",W543-V543)</f>
        <v/>
      </c>
      <c r="Y543" s="27">
        <f>IF(X543="","",X543/V543)</f>
        <v/>
      </c>
    </row>
    <row r="544">
      <c r="A544" t="inlineStr">
        <is>
          <t>Valor|Armadura|T7.0</t>
        </is>
      </c>
      <c r="B544" t="inlineStr">
        <is>
          <t>Valor</t>
        </is>
      </c>
      <c r="C544" t="inlineStr">
        <is>
          <t>Armadura</t>
        </is>
      </c>
      <c r="D544" t="inlineStr">
        <is>
          <t>T7.0</t>
        </is>
      </c>
      <c r="E544" t="n">
        <v>7</v>
      </c>
      <c r="F544" t="n">
        <v>0</v>
      </c>
      <c r="G544" t="n">
        <v>16</v>
      </c>
      <c r="H544" s="22" t="n"/>
      <c r="I544" s="22" t="n"/>
      <c r="J544" s="22" t="n"/>
      <c r="K544" s="22" t="n"/>
      <c r="L544" s="22" t="n"/>
      <c r="M544" s="22" t="n"/>
      <c r="N544" s="22" t="n"/>
      <c r="O544" s="23">
        <f>IF(COUNT(H544:N544)=0,"",MAX(H544:N544))</f>
        <v/>
      </c>
      <c r="P544" s="24">
        <f>IF(O544="","",INDEX($H$3:$N$3,MATCH(O544,H544:N544,0)))</f>
        <v/>
      </c>
      <c r="Q544" s="23">
        <f>IF(Refino!$L$20="","",G544*Refino!$L$20*(1-RetCraft))</f>
        <v/>
      </c>
      <c r="R544" s="25">
        <f>IF(Artefatos!$L$66="","",Artefatos!$L$66*(1+TaxaCompra))</f>
        <v/>
      </c>
      <c r="S544">
        <f>IF(Artefatos!$M$66="","",Artefatos!$M$66)</f>
        <v/>
      </c>
      <c r="T544" s="25">
        <f>G544*Refino!$D$20+Artefatos!$F$66</f>
        <v/>
      </c>
      <c r="U544" s="25">
        <f>T544*0.1125*FeeCraft/100</f>
        <v/>
      </c>
      <c r="V544" s="23">
        <f>IF(OR(Q544="",R544=""),"",Q544+R544+U544)</f>
        <v/>
      </c>
      <c r="W544" s="23">
        <f>IF(O544="","",O544*(1-TaxaVenda))</f>
        <v/>
      </c>
      <c r="X544" s="26">
        <f>IF(OR(V544="",W544=""),"",W544-V544)</f>
        <v/>
      </c>
      <c r="Y544" s="27">
        <f>IF(X544="","",X544/V544)</f>
        <v/>
      </c>
    </row>
    <row r="545">
      <c r="A545" t="inlineStr">
        <is>
          <t>Valor|Armadura|T7.1</t>
        </is>
      </c>
      <c r="B545" t="inlineStr">
        <is>
          <t>Valor</t>
        </is>
      </c>
      <c r="C545" t="inlineStr">
        <is>
          <t>Armadura</t>
        </is>
      </c>
      <c r="D545" t="inlineStr">
        <is>
          <t>T7.1</t>
        </is>
      </c>
      <c r="E545" t="n">
        <v>7</v>
      </c>
      <c r="F545" t="n">
        <v>1</v>
      </c>
      <c r="G545" t="n">
        <v>16</v>
      </c>
      <c r="H545" s="22" t="n"/>
      <c r="I545" s="22" t="n"/>
      <c r="J545" s="22" t="n"/>
      <c r="K545" s="22" t="n"/>
      <c r="L545" s="22" t="n"/>
      <c r="M545" s="22" t="n"/>
      <c r="N545" s="22" t="n"/>
      <c r="O545" s="23">
        <f>IF(COUNT(H545:N545)=0,"",MAX(H545:N545))</f>
        <v/>
      </c>
      <c r="P545" s="24">
        <f>IF(O545="","",INDEX($H$3:$N$3,MATCH(O545,H545:N545,0)))</f>
        <v/>
      </c>
      <c r="Q545" s="23">
        <f>IF(Refino!$L$21="","",G545*Refino!$L$21*(1-RetCraft))</f>
        <v/>
      </c>
      <c r="R545" s="25">
        <f>IF(Artefatos!$L$66="","",Artefatos!$L$66*(1+TaxaCompra))</f>
        <v/>
      </c>
      <c r="S545">
        <f>IF(Artefatos!$M$66="","",Artefatos!$M$66)</f>
        <v/>
      </c>
      <c r="T545" s="25">
        <f>G545*Refino!$D$21+Artefatos!$F$66</f>
        <v/>
      </c>
      <c r="U545" s="25">
        <f>T545*0.1125*FeeCraft/100</f>
        <v/>
      </c>
      <c r="V545" s="23">
        <f>IF(OR(Q545="",R545=""),"",Q545+R545+U545)</f>
        <v/>
      </c>
      <c r="W545" s="23">
        <f>IF(O545="","",O545*(1-TaxaVenda))</f>
        <v/>
      </c>
      <c r="X545" s="26">
        <f>IF(OR(V545="",W545=""),"",W545-V545)</f>
        <v/>
      </c>
      <c r="Y545" s="27">
        <f>IF(X545="","",X545/V545)</f>
        <v/>
      </c>
    </row>
    <row r="546">
      <c r="A546" t="inlineStr">
        <is>
          <t>Valor|Armadura|T7.2</t>
        </is>
      </c>
      <c r="B546" t="inlineStr">
        <is>
          <t>Valor</t>
        </is>
      </c>
      <c r="C546" t="inlineStr">
        <is>
          <t>Armadura</t>
        </is>
      </c>
      <c r="D546" t="inlineStr">
        <is>
          <t>T7.2</t>
        </is>
      </c>
      <c r="E546" t="n">
        <v>7</v>
      </c>
      <c r="F546" t="n">
        <v>2</v>
      </c>
      <c r="G546" t="n">
        <v>16</v>
      </c>
      <c r="H546" s="22" t="n"/>
      <c r="I546" s="22" t="n"/>
      <c r="J546" s="22" t="n"/>
      <c r="K546" s="22" t="n"/>
      <c r="L546" s="22" t="n"/>
      <c r="M546" s="22" t="n"/>
      <c r="N546" s="22" t="n"/>
      <c r="O546" s="23">
        <f>IF(COUNT(H546:N546)=0,"",MAX(H546:N546))</f>
        <v/>
      </c>
      <c r="P546" s="24">
        <f>IF(O546="","",INDEX($H$3:$N$3,MATCH(O546,H546:N546,0)))</f>
        <v/>
      </c>
      <c r="Q546" s="23">
        <f>IF(Refino!$L$22="","",G546*Refino!$L$22*(1-RetCraft))</f>
        <v/>
      </c>
      <c r="R546" s="25">
        <f>IF(Artefatos!$L$66="","",Artefatos!$L$66*(1+TaxaCompra))</f>
        <v/>
      </c>
      <c r="S546">
        <f>IF(Artefatos!$M$66="","",Artefatos!$M$66)</f>
        <v/>
      </c>
      <c r="T546" s="25">
        <f>G546*Refino!$D$22+Artefatos!$F$66</f>
        <v/>
      </c>
      <c r="U546" s="25">
        <f>T546*0.1125*FeeCraft/100</f>
        <v/>
      </c>
      <c r="V546" s="23">
        <f>IF(OR(Q546="",R546=""),"",Q546+R546+U546)</f>
        <v/>
      </c>
      <c r="W546" s="23">
        <f>IF(O546="","",O546*(1-TaxaVenda))</f>
        <v/>
      </c>
      <c r="X546" s="26">
        <f>IF(OR(V546="",W546=""),"",W546-V546)</f>
        <v/>
      </c>
      <c r="Y546" s="27">
        <f>IF(X546="","",X546/V546)</f>
        <v/>
      </c>
    </row>
    <row r="547">
      <c r="A547" t="inlineStr">
        <is>
          <t>Valor|Armadura|T7.3</t>
        </is>
      </c>
      <c r="B547" t="inlineStr">
        <is>
          <t>Valor</t>
        </is>
      </c>
      <c r="C547" t="inlineStr">
        <is>
          <t>Armadura</t>
        </is>
      </c>
      <c r="D547" t="inlineStr">
        <is>
          <t>T7.3</t>
        </is>
      </c>
      <c r="E547" t="n">
        <v>7</v>
      </c>
      <c r="F547" t="n">
        <v>3</v>
      </c>
      <c r="G547" t="n">
        <v>16</v>
      </c>
      <c r="H547" s="22" t="n"/>
      <c r="I547" s="22" t="n"/>
      <c r="J547" s="22" t="n"/>
      <c r="K547" s="22" t="n"/>
      <c r="L547" s="22" t="n"/>
      <c r="M547" s="22" t="n"/>
      <c r="N547" s="22" t="n"/>
      <c r="O547" s="23">
        <f>IF(COUNT(H547:N547)=0,"",MAX(H547:N547))</f>
        <v/>
      </c>
      <c r="P547" s="24">
        <f>IF(O547="","",INDEX($H$3:$N$3,MATCH(O547,H547:N547,0)))</f>
        <v/>
      </c>
      <c r="Q547" s="23">
        <f>IF(Refino!$L$23="","",G547*Refino!$L$23*(1-RetCraft))</f>
        <v/>
      </c>
      <c r="R547" s="25">
        <f>IF(Artefatos!$L$66="","",Artefatos!$L$66*(1+TaxaCompra))</f>
        <v/>
      </c>
      <c r="S547">
        <f>IF(Artefatos!$M$66="","",Artefatos!$M$66)</f>
        <v/>
      </c>
      <c r="T547" s="25">
        <f>G547*Refino!$D$23+Artefatos!$F$66</f>
        <v/>
      </c>
      <c r="U547" s="25">
        <f>T547*0.1125*FeeCraft/100</f>
        <v/>
      </c>
      <c r="V547" s="23">
        <f>IF(OR(Q547="",R547=""),"",Q547+R547+U547)</f>
        <v/>
      </c>
      <c r="W547" s="23">
        <f>IF(O547="","",O547*(1-TaxaVenda))</f>
        <v/>
      </c>
      <c r="X547" s="26">
        <f>IF(OR(V547="",W547=""),"",W547-V547)</f>
        <v/>
      </c>
      <c r="Y547" s="27">
        <f>IF(X547="","",X547/V547)</f>
        <v/>
      </c>
    </row>
    <row r="548">
      <c r="A548" t="inlineStr">
        <is>
          <t>Valor|Armadura|T7.4</t>
        </is>
      </c>
      <c r="B548" t="inlineStr">
        <is>
          <t>Valor</t>
        </is>
      </c>
      <c r="C548" t="inlineStr">
        <is>
          <t>Armadura</t>
        </is>
      </c>
      <c r="D548" t="inlineStr">
        <is>
          <t>T7.4</t>
        </is>
      </c>
      <c r="E548" t="n">
        <v>7</v>
      </c>
      <c r="F548" t="n">
        <v>4</v>
      </c>
      <c r="G548" t="n">
        <v>16</v>
      </c>
      <c r="H548" s="22" t="n"/>
      <c r="I548" s="22" t="n"/>
      <c r="J548" s="22" t="n"/>
      <c r="K548" s="22" t="n"/>
      <c r="L548" s="22" t="n"/>
      <c r="M548" s="22" t="n"/>
      <c r="N548" s="22" t="n"/>
      <c r="O548" s="23">
        <f>IF(COUNT(H548:N548)=0,"",MAX(H548:N548))</f>
        <v/>
      </c>
      <c r="P548" s="24">
        <f>IF(O548="","",INDEX($H$3:$N$3,MATCH(O548,H548:N548,0)))</f>
        <v/>
      </c>
      <c r="Q548" s="23">
        <f>IF(Refino!$L$24="","",G548*Refino!$L$24*(1-RetCraft))</f>
        <v/>
      </c>
      <c r="R548" s="25">
        <f>IF(Artefatos!$L$66="","",Artefatos!$L$66*(1+TaxaCompra))</f>
        <v/>
      </c>
      <c r="S548">
        <f>IF(Artefatos!$M$66="","",Artefatos!$M$66)</f>
        <v/>
      </c>
      <c r="T548" s="25">
        <f>G548*Refino!$D$24+Artefatos!$F$66</f>
        <v/>
      </c>
      <c r="U548" s="25">
        <f>T548*0.1125*FeeCraft/100</f>
        <v/>
      </c>
      <c r="V548" s="23">
        <f>IF(OR(Q548="",R548=""),"",Q548+R548+U548)</f>
        <v/>
      </c>
      <c r="W548" s="23">
        <f>IF(O548="","",O548*(1-TaxaVenda))</f>
        <v/>
      </c>
      <c r="X548" s="26">
        <f>IF(OR(V548="",W548=""),"",W548-V548)</f>
        <v/>
      </c>
      <c r="Y548" s="27">
        <f>IF(X548="","",X548/V548)</f>
        <v/>
      </c>
    </row>
    <row r="549">
      <c r="A549" t="inlineStr">
        <is>
          <t>Valor|Armadura|T8.0</t>
        </is>
      </c>
      <c r="B549" t="inlineStr">
        <is>
          <t>Valor</t>
        </is>
      </c>
      <c r="C549" t="inlineStr">
        <is>
          <t>Armadura</t>
        </is>
      </c>
      <c r="D549" t="inlineStr">
        <is>
          <t>T8.0</t>
        </is>
      </c>
      <c r="E549" t="n">
        <v>8</v>
      </c>
      <c r="F549" t="n">
        <v>0</v>
      </c>
      <c r="G549" t="n">
        <v>16</v>
      </c>
      <c r="H549" s="22" t="n"/>
      <c r="I549" s="22" t="n"/>
      <c r="J549" s="22" t="n"/>
      <c r="K549" s="22" t="n"/>
      <c r="L549" s="22" t="n"/>
      <c r="M549" s="22" t="n"/>
      <c r="N549" s="22" t="n"/>
      <c r="O549" s="23">
        <f>IF(COUNT(H549:N549)=0,"",MAX(H549:N549))</f>
        <v/>
      </c>
      <c r="P549" s="24">
        <f>IF(O549="","",INDEX($H$3:$N$3,MATCH(O549,H549:N549,0)))</f>
        <v/>
      </c>
      <c r="Q549" s="23">
        <f>IF(Refino!$L$25="","",G549*Refino!$L$25*(1-RetCraft))</f>
        <v/>
      </c>
      <c r="R549" s="25">
        <f>IF(Artefatos!$L$67="","",Artefatos!$L$67*(1+TaxaCompra))</f>
        <v/>
      </c>
      <c r="S549">
        <f>IF(Artefatos!$M$67="","",Artefatos!$M$67)</f>
        <v/>
      </c>
      <c r="T549" s="25">
        <f>G549*Refino!$D$25+Artefatos!$F$67</f>
        <v/>
      </c>
      <c r="U549" s="25">
        <f>T549*0.1125*FeeCraft/100</f>
        <v/>
      </c>
      <c r="V549" s="23">
        <f>IF(OR(Q549="",R549=""),"",Q549+R549+U549)</f>
        <v/>
      </c>
      <c r="W549" s="23">
        <f>IF(O549="","",O549*(1-TaxaVenda))</f>
        <v/>
      </c>
      <c r="X549" s="26">
        <f>IF(OR(V549="",W549=""),"",W549-V549)</f>
        <v/>
      </c>
      <c r="Y549" s="27">
        <f>IF(X549="","",X549/V549)</f>
        <v/>
      </c>
    </row>
    <row r="550">
      <c r="A550" t="inlineStr">
        <is>
          <t>Valor|Armadura|T8.1</t>
        </is>
      </c>
      <c r="B550" t="inlineStr">
        <is>
          <t>Valor</t>
        </is>
      </c>
      <c r="C550" t="inlineStr">
        <is>
          <t>Armadura</t>
        </is>
      </c>
      <c r="D550" t="inlineStr">
        <is>
          <t>T8.1</t>
        </is>
      </c>
      <c r="E550" t="n">
        <v>8</v>
      </c>
      <c r="F550" t="n">
        <v>1</v>
      </c>
      <c r="G550" t="n">
        <v>16</v>
      </c>
      <c r="H550" s="22" t="n"/>
      <c r="I550" s="22" t="n"/>
      <c r="J550" s="22" t="n"/>
      <c r="K550" s="22" t="n"/>
      <c r="L550" s="22" t="n"/>
      <c r="M550" s="22" t="n"/>
      <c r="N550" s="22" t="n"/>
      <c r="O550" s="23">
        <f>IF(COUNT(H550:N550)=0,"",MAX(H550:N550))</f>
        <v/>
      </c>
      <c r="P550" s="24">
        <f>IF(O550="","",INDEX($H$3:$N$3,MATCH(O550,H550:N550,0)))</f>
        <v/>
      </c>
      <c r="Q550" s="23">
        <f>IF(Refino!$L$26="","",G550*Refino!$L$26*(1-RetCraft))</f>
        <v/>
      </c>
      <c r="R550" s="25">
        <f>IF(Artefatos!$L$67="","",Artefatos!$L$67*(1+TaxaCompra))</f>
        <v/>
      </c>
      <c r="S550">
        <f>IF(Artefatos!$M$67="","",Artefatos!$M$67)</f>
        <v/>
      </c>
      <c r="T550" s="25">
        <f>G550*Refino!$D$26+Artefatos!$F$67</f>
        <v/>
      </c>
      <c r="U550" s="25">
        <f>T550*0.1125*FeeCraft/100</f>
        <v/>
      </c>
      <c r="V550" s="23">
        <f>IF(OR(Q550="",R550=""),"",Q550+R550+U550)</f>
        <v/>
      </c>
      <c r="W550" s="23">
        <f>IF(O550="","",O550*(1-TaxaVenda))</f>
        <v/>
      </c>
      <c r="X550" s="26">
        <f>IF(OR(V550="",W550=""),"",W550-V550)</f>
        <v/>
      </c>
      <c r="Y550" s="27">
        <f>IF(X550="","",X550/V550)</f>
        <v/>
      </c>
    </row>
    <row r="551">
      <c r="A551" t="inlineStr">
        <is>
          <t>Valor|Armadura|T8.2</t>
        </is>
      </c>
      <c r="B551" t="inlineStr">
        <is>
          <t>Valor</t>
        </is>
      </c>
      <c r="C551" t="inlineStr">
        <is>
          <t>Armadura</t>
        </is>
      </c>
      <c r="D551" t="inlineStr">
        <is>
          <t>T8.2</t>
        </is>
      </c>
      <c r="E551" t="n">
        <v>8</v>
      </c>
      <c r="F551" t="n">
        <v>2</v>
      </c>
      <c r="G551" t="n">
        <v>16</v>
      </c>
      <c r="H551" s="22" t="n"/>
      <c r="I551" s="22" t="n"/>
      <c r="J551" s="22" t="n"/>
      <c r="K551" s="22" t="n"/>
      <c r="L551" s="22" t="n"/>
      <c r="M551" s="22" t="n"/>
      <c r="N551" s="22" t="n"/>
      <c r="O551" s="23">
        <f>IF(COUNT(H551:N551)=0,"",MAX(H551:N551))</f>
        <v/>
      </c>
      <c r="P551" s="24">
        <f>IF(O551="","",INDEX($H$3:$N$3,MATCH(O551,H551:N551,0)))</f>
        <v/>
      </c>
      <c r="Q551" s="23">
        <f>IF(Refino!$L$27="","",G551*Refino!$L$27*(1-RetCraft))</f>
        <v/>
      </c>
      <c r="R551" s="25">
        <f>IF(Artefatos!$L$67="","",Artefatos!$L$67*(1+TaxaCompra))</f>
        <v/>
      </c>
      <c r="S551">
        <f>IF(Artefatos!$M$67="","",Artefatos!$M$67)</f>
        <v/>
      </c>
      <c r="T551" s="25">
        <f>G551*Refino!$D$27+Artefatos!$F$67</f>
        <v/>
      </c>
      <c r="U551" s="25">
        <f>T551*0.1125*FeeCraft/100</f>
        <v/>
      </c>
      <c r="V551" s="23">
        <f>IF(OR(Q551="",R551=""),"",Q551+R551+U551)</f>
        <v/>
      </c>
      <c r="W551" s="23">
        <f>IF(O551="","",O551*(1-TaxaVenda))</f>
        <v/>
      </c>
      <c r="X551" s="26">
        <f>IF(OR(V551="",W551=""),"",W551-V551)</f>
        <v/>
      </c>
      <c r="Y551" s="27">
        <f>IF(X551="","",X551/V551)</f>
        <v/>
      </c>
    </row>
    <row r="552">
      <c r="A552" t="inlineStr">
        <is>
          <t>Valor|Armadura|T8.3</t>
        </is>
      </c>
      <c r="B552" t="inlineStr">
        <is>
          <t>Valor</t>
        </is>
      </c>
      <c r="C552" t="inlineStr">
        <is>
          <t>Armadura</t>
        </is>
      </c>
      <c r="D552" t="inlineStr">
        <is>
          <t>T8.3</t>
        </is>
      </c>
      <c r="E552" t="n">
        <v>8</v>
      </c>
      <c r="F552" t="n">
        <v>3</v>
      </c>
      <c r="G552" t="n">
        <v>16</v>
      </c>
      <c r="H552" s="22" t="n"/>
      <c r="I552" s="22" t="n"/>
      <c r="J552" s="22" t="n"/>
      <c r="K552" s="22" t="n"/>
      <c r="L552" s="22" t="n"/>
      <c r="M552" s="22" t="n"/>
      <c r="N552" s="22" t="n"/>
      <c r="O552" s="23">
        <f>IF(COUNT(H552:N552)=0,"",MAX(H552:N552))</f>
        <v/>
      </c>
      <c r="P552" s="24">
        <f>IF(O552="","",INDEX($H$3:$N$3,MATCH(O552,H552:N552,0)))</f>
        <v/>
      </c>
      <c r="Q552" s="23">
        <f>IF(Refino!$L$28="","",G552*Refino!$L$28*(1-RetCraft))</f>
        <v/>
      </c>
      <c r="R552" s="25">
        <f>IF(Artefatos!$L$67="","",Artefatos!$L$67*(1+TaxaCompra))</f>
        <v/>
      </c>
      <c r="S552">
        <f>IF(Artefatos!$M$67="","",Artefatos!$M$67)</f>
        <v/>
      </c>
      <c r="T552" s="25">
        <f>G552*Refino!$D$28+Artefatos!$F$67</f>
        <v/>
      </c>
      <c r="U552" s="25">
        <f>T552*0.1125*FeeCraft/100</f>
        <v/>
      </c>
      <c r="V552" s="23">
        <f>IF(OR(Q552="",R552=""),"",Q552+R552+U552)</f>
        <v/>
      </c>
      <c r="W552" s="23">
        <f>IF(O552="","",O552*(1-TaxaVenda))</f>
        <v/>
      </c>
      <c r="X552" s="26">
        <f>IF(OR(V552="",W552=""),"",W552-V552)</f>
        <v/>
      </c>
      <c r="Y552" s="27">
        <f>IF(X552="","",X552/V552)</f>
        <v/>
      </c>
    </row>
    <row r="553">
      <c r="A553" t="inlineStr">
        <is>
          <t>Valor|Armadura|T8.4</t>
        </is>
      </c>
      <c r="B553" t="inlineStr">
        <is>
          <t>Valor</t>
        </is>
      </c>
      <c r="C553" t="inlineStr">
        <is>
          <t>Armadura</t>
        </is>
      </c>
      <c r="D553" t="inlineStr">
        <is>
          <t>T8.4</t>
        </is>
      </c>
      <c r="E553" t="n">
        <v>8</v>
      </c>
      <c r="F553" t="n">
        <v>4</v>
      </c>
      <c r="G553" t="n">
        <v>16</v>
      </c>
      <c r="H553" s="22" t="n"/>
      <c r="I553" s="22" t="n"/>
      <c r="J553" s="22" t="n"/>
      <c r="K553" s="22" t="n"/>
      <c r="L553" s="22" t="n"/>
      <c r="M553" s="22" t="n"/>
      <c r="N553" s="22" t="n"/>
      <c r="O553" s="23">
        <f>IF(COUNT(H553:N553)=0,"",MAX(H553:N553))</f>
        <v/>
      </c>
      <c r="P553" s="24">
        <f>IF(O553="","",INDEX($H$3:$N$3,MATCH(O553,H553:N553,0)))</f>
        <v/>
      </c>
      <c r="Q553" s="23">
        <f>IF(Refino!$L$29="","",G553*Refino!$L$29*(1-RetCraft))</f>
        <v/>
      </c>
      <c r="R553" s="25">
        <f>IF(Artefatos!$L$67="","",Artefatos!$L$67*(1+TaxaCompra))</f>
        <v/>
      </c>
      <c r="S553">
        <f>IF(Artefatos!$M$67="","",Artefatos!$M$67)</f>
        <v/>
      </c>
      <c r="T553" s="25">
        <f>G553*Refino!$D$29+Artefatos!$F$67</f>
        <v/>
      </c>
      <c r="U553" s="25">
        <f>T553*0.1125*FeeCraft/100</f>
        <v/>
      </c>
      <c r="V553" s="23">
        <f>IF(OR(Q553="",R553=""),"",Q553+R553+U553)</f>
        <v/>
      </c>
      <c r="W553" s="23">
        <f>IF(O553="","",O553*(1-TaxaVenda))</f>
        <v/>
      </c>
      <c r="X553" s="26">
        <f>IF(OR(V553="",W553=""),"",W553-V553)</f>
        <v/>
      </c>
      <c r="Y553" s="27">
        <f>IF(X553="","",X553/V553)</f>
        <v/>
      </c>
    </row>
    <row r="554">
      <c r="A554" t="inlineStr">
        <is>
          <t>Valor|Elmo|T4.0</t>
        </is>
      </c>
      <c r="B554" t="inlineStr">
        <is>
          <t>Valor</t>
        </is>
      </c>
      <c r="C554" t="inlineStr">
        <is>
          <t>Elmo</t>
        </is>
      </c>
      <c r="D554" t="inlineStr">
        <is>
          <t>T4.0</t>
        </is>
      </c>
      <c r="E554" t="n">
        <v>4</v>
      </c>
      <c r="F554" t="n">
        <v>0</v>
      </c>
      <c r="G554" t="n">
        <v>8</v>
      </c>
      <c r="H554" s="22" t="n"/>
      <c r="I554" s="22" t="n"/>
      <c r="J554" s="22" t="n"/>
      <c r="K554" s="22" t="n"/>
      <c r="L554" s="22" t="n"/>
      <c r="M554" s="22" t="n"/>
      <c r="N554" s="22" t="n"/>
      <c r="O554" s="23">
        <f>IF(COUNT(H554:N554)=0,"",MAX(H554:N554))</f>
        <v/>
      </c>
      <c r="P554" s="24">
        <f>IF(O554="","",INDEX($H$3:$N$3,MATCH(O554,H554:N554,0)))</f>
        <v/>
      </c>
      <c r="Q554" s="23">
        <f>IF(Refino!$L$5="","",G554*Refino!$L$5*(1-RetCraft))</f>
        <v/>
      </c>
      <c r="R554" s="25">
        <f>IF(Artefatos!$L$68="","",Artefatos!$L$68*(1+TaxaCompra))</f>
        <v/>
      </c>
      <c r="S554">
        <f>IF(Artefatos!$M$68="","",Artefatos!$M$68)</f>
        <v/>
      </c>
      <c r="T554" s="25">
        <f>G554*Refino!$D$5+Artefatos!$F$68</f>
        <v/>
      </c>
      <c r="U554" s="25">
        <f>T554*0.1125*FeeCraft/100</f>
        <v/>
      </c>
      <c r="V554" s="23">
        <f>IF(OR(Q554="",R554=""),"",Q554+R554+U554)</f>
        <v/>
      </c>
      <c r="W554" s="23">
        <f>IF(O554="","",O554*(1-TaxaVenda))</f>
        <v/>
      </c>
      <c r="X554" s="26">
        <f>IF(OR(V554="",W554=""),"",W554-V554)</f>
        <v/>
      </c>
      <c r="Y554" s="27">
        <f>IF(X554="","",X554/V554)</f>
        <v/>
      </c>
    </row>
    <row r="555">
      <c r="A555" t="inlineStr">
        <is>
          <t>Valor|Elmo|T4.1</t>
        </is>
      </c>
      <c r="B555" t="inlineStr">
        <is>
          <t>Valor</t>
        </is>
      </c>
      <c r="C555" t="inlineStr">
        <is>
          <t>Elmo</t>
        </is>
      </c>
      <c r="D555" t="inlineStr">
        <is>
          <t>T4.1</t>
        </is>
      </c>
      <c r="E555" t="n">
        <v>4</v>
      </c>
      <c r="F555" t="n">
        <v>1</v>
      </c>
      <c r="G555" t="n">
        <v>8</v>
      </c>
      <c r="H555" s="22" t="n"/>
      <c r="I555" s="22" t="n"/>
      <c r="J555" s="22" t="n"/>
      <c r="K555" s="22" t="n"/>
      <c r="L555" s="22" t="n"/>
      <c r="M555" s="22" t="n"/>
      <c r="N555" s="22" t="n"/>
      <c r="O555" s="23">
        <f>IF(COUNT(H555:N555)=0,"",MAX(H555:N555))</f>
        <v/>
      </c>
      <c r="P555" s="24">
        <f>IF(O555="","",INDEX($H$3:$N$3,MATCH(O555,H555:N555,0)))</f>
        <v/>
      </c>
      <c r="Q555" s="23">
        <f>IF(Refino!$L$6="","",G555*Refino!$L$6*(1-RetCraft))</f>
        <v/>
      </c>
      <c r="R555" s="25">
        <f>IF(Artefatos!$L$68="","",Artefatos!$L$68*(1+TaxaCompra))</f>
        <v/>
      </c>
      <c r="S555">
        <f>IF(Artefatos!$M$68="","",Artefatos!$M$68)</f>
        <v/>
      </c>
      <c r="T555" s="25">
        <f>G555*Refino!$D$6+Artefatos!$F$68</f>
        <v/>
      </c>
      <c r="U555" s="25">
        <f>T555*0.1125*FeeCraft/100</f>
        <v/>
      </c>
      <c r="V555" s="23">
        <f>IF(OR(Q555="",R555=""),"",Q555+R555+U555)</f>
        <v/>
      </c>
      <c r="W555" s="23">
        <f>IF(O555="","",O555*(1-TaxaVenda))</f>
        <v/>
      </c>
      <c r="X555" s="26">
        <f>IF(OR(V555="",W555=""),"",W555-V555)</f>
        <v/>
      </c>
      <c r="Y555" s="27">
        <f>IF(X555="","",X555/V555)</f>
        <v/>
      </c>
    </row>
    <row r="556">
      <c r="A556" t="inlineStr">
        <is>
          <t>Valor|Elmo|T4.2</t>
        </is>
      </c>
      <c r="B556" t="inlineStr">
        <is>
          <t>Valor</t>
        </is>
      </c>
      <c r="C556" t="inlineStr">
        <is>
          <t>Elmo</t>
        </is>
      </c>
      <c r="D556" t="inlineStr">
        <is>
          <t>T4.2</t>
        </is>
      </c>
      <c r="E556" t="n">
        <v>4</v>
      </c>
      <c r="F556" t="n">
        <v>2</v>
      </c>
      <c r="G556" t="n">
        <v>8</v>
      </c>
      <c r="H556" s="22" t="n"/>
      <c r="I556" s="22" t="n"/>
      <c r="J556" s="22" t="n"/>
      <c r="K556" s="22" t="n"/>
      <c r="L556" s="22" t="n"/>
      <c r="M556" s="22" t="n"/>
      <c r="N556" s="22" t="n"/>
      <c r="O556" s="23">
        <f>IF(COUNT(H556:N556)=0,"",MAX(H556:N556))</f>
        <v/>
      </c>
      <c r="P556" s="24">
        <f>IF(O556="","",INDEX($H$3:$N$3,MATCH(O556,H556:N556,0)))</f>
        <v/>
      </c>
      <c r="Q556" s="23">
        <f>IF(Refino!$L$7="","",G556*Refino!$L$7*(1-RetCraft))</f>
        <v/>
      </c>
      <c r="R556" s="25">
        <f>IF(Artefatos!$L$68="","",Artefatos!$L$68*(1+TaxaCompra))</f>
        <v/>
      </c>
      <c r="S556">
        <f>IF(Artefatos!$M$68="","",Artefatos!$M$68)</f>
        <v/>
      </c>
      <c r="T556" s="25">
        <f>G556*Refino!$D$7+Artefatos!$F$68</f>
        <v/>
      </c>
      <c r="U556" s="25">
        <f>T556*0.1125*FeeCraft/100</f>
        <v/>
      </c>
      <c r="V556" s="23">
        <f>IF(OR(Q556="",R556=""),"",Q556+R556+U556)</f>
        <v/>
      </c>
      <c r="W556" s="23">
        <f>IF(O556="","",O556*(1-TaxaVenda))</f>
        <v/>
      </c>
      <c r="X556" s="26">
        <f>IF(OR(V556="",W556=""),"",W556-V556)</f>
        <v/>
      </c>
      <c r="Y556" s="27">
        <f>IF(X556="","",X556/V556)</f>
        <v/>
      </c>
    </row>
    <row r="557">
      <c r="A557" t="inlineStr">
        <is>
          <t>Valor|Elmo|T4.3</t>
        </is>
      </c>
      <c r="B557" t="inlineStr">
        <is>
          <t>Valor</t>
        </is>
      </c>
      <c r="C557" t="inlineStr">
        <is>
          <t>Elmo</t>
        </is>
      </c>
      <c r="D557" t="inlineStr">
        <is>
          <t>T4.3</t>
        </is>
      </c>
      <c r="E557" t="n">
        <v>4</v>
      </c>
      <c r="F557" t="n">
        <v>3</v>
      </c>
      <c r="G557" t="n">
        <v>8</v>
      </c>
      <c r="H557" s="22" t="n"/>
      <c r="I557" s="22" t="n"/>
      <c r="J557" s="22" t="n"/>
      <c r="K557" s="22" t="n"/>
      <c r="L557" s="22" t="n"/>
      <c r="M557" s="22" t="n"/>
      <c r="N557" s="22" t="n"/>
      <c r="O557" s="23">
        <f>IF(COUNT(H557:N557)=0,"",MAX(H557:N557))</f>
        <v/>
      </c>
      <c r="P557" s="24">
        <f>IF(O557="","",INDEX($H$3:$N$3,MATCH(O557,H557:N557,0)))</f>
        <v/>
      </c>
      <c r="Q557" s="23">
        <f>IF(Refino!$L$8="","",G557*Refino!$L$8*(1-RetCraft))</f>
        <v/>
      </c>
      <c r="R557" s="25">
        <f>IF(Artefatos!$L$68="","",Artefatos!$L$68*(1+TaxaCompra))</f>
        <v/>
      </c>
      <c r="S557">
        <f>IF(Artefatos!$M$68="","",Artefatos!$M$68)</f>
        <v/>
      </c>
      <c r="T557" s="25">
        <f>G557*Refino!$D$8+Artefatos!$F$68</f>
        <v/>
      </c>
      <c r="U557" s="25">
        <f>T557*0.1125*FeeCraft/100</f>
        <v/>
      </c>
      <c r="V557" s="23">
        <f>IF(OR(Q557="",R557=""),"",Q557+R557+U557)</f>
        <v/>
      </c>
      <c r="W557" s="23">
        <f>IF(O557="","",O557*(1-TaxaVenda))</f>
        <v/>
      </c>
      <c r="X557" s="26">
        <f>IF(OR(V557="",W557=""),"",W557-V557)</f>
        <v/>
      </c>
      <c r="Y557" s="27">
        <f>IF(X557="","",X557/V557)</f>
        <v/>
      </c>
    </row>
    <row r="558">
      <c r="A558" t="inlineStr">
        <is>
          <t>Valor|Elmo|T4.4</t>
        </is>
      </c>
      <c r="B558" t="inlineStr">
        <is>
          <t>Valor</t>
        </is>
      </c>
      <c r="C558" t="inlineStr">
        <is>
          <t>Elmo</t>
        </is>
      </c>
      <c r="D558" t="inlineStr">
        <is>
          <t>T4.4</t>
        </is>
      </c>
      <c r="E558" t="n">
        <v>4</v>
      </c>
      <c r="F558" t="n">
        <v>4</v>
      </c>
      <c r="G558" t="n">
        <v>8</v>
      </c>
      <c r="H558" s="22" t="n"/>
      <c r="I558" s="22" t="n"/>
      <c r="J558" s="22" t="n"/>
      <c r="K558" s="22" t="n"/>
      <c r="L558" s="22" t="n"/>
      <c r="M558" s="22" t="n"/>
      <c r="N558" s="22" t="n"/>
      <c r="O558" s="23">
        <f>IF(COUNT(H558:N558)=0,"",MAX(H558:N558))</f>
        <v/>
      </c>
      <c r="P558" s="24">
        <f>IF(O558="","",INDEX($H$3:$N$3,MATCH(O558,H558:N558,0)))</f>
        <v/>
      </c>
      <c r="Q558" s="23">
        <f>IF(Refino!$L$9="","",G558*Refino!$L$9*(1-RetCraft))</f>
        <v/>
      </c>
      <c r="R558" s="25">
        <f>IF(Artefatos!$L$68="","",Artefatos!$L$68*(1+TaxaCompra))</f>
        <v/>
      </c>
      <c r="S558">
        <f>IF(Artefatos!$M$68="","",Artefatos!$M$68)</f>
        <v/>
      </c>
      <c r="T558" s="25">
        <f>G558*Refino!$D$9+Artefatos!$F$68</f>
        <v/>
      </c>
      <c r="U558" s="25">
        <f>T558*0.1125*FeeCraft/100</f>
        <v/>
      </c>
      <c r="V558" s="23">
        <f>IF(OR(Q558="",R558=""),"",Q558+R558+U558)</f>
        <v/>
      </c>
      <c r="W558" s="23">
        <f>IF(O558="","",O558*(1-TaxaVenda))</f>
        <v/>
      </c>
      <c r="X558" s="26">
        <f>IF(OR(V558="",W558=""),"",W558-V558)</f>
        <v/>
      </c>
      <c r="Y558" s="27">
        <f>IF(X558="","",X558/V558)</f>
        <v/>
      </c>
    </row>
    <row r="559">
      <c r="A559" t="inlineStr">
        <is>
          <t>Valor|Elmo|T5.0</t>
        </is>
      </c>
      <c r="B559" t="inlineStr">
        <is>
          <t>Valor</t>
        </is>
      </c>
      <c r="C559" t="inlineStr">
        <is>
          <t>Elmo</t>
        </is>
      </c>
      <c r="D559" t="inlineStr">
        <is>
          <t>T5.0</t>
        </is>
      </c>
      <c r="E559" t="n">
        <v>5</v>
      </c>
      <c r="F559" t="n">
        <v>0</v>
      </c>
      <c r="G559" t="n">
        <v>8</v>
      </c>
      <c r="H559" s="22" t="n"/>
      <c r="I559" s="22" t="n"/>
      <c r="J559" s="22" t="n"/>
      <c r="K559" s="22" t="n"/>
      <c r="L559" s="22" t="n"/>
      <c r="M559" s="22" t="n"/>
      <c r="N559" s="22" t="n"/>
      <c r="O559" s="23">
        <f>IF(COUNT(H559:N559)=0,"",MAX(H559:N559))</f>
        <v/>
      </c>
      <c r="P559" s="24">
        <f>IF(O559="","",INDEX($H$3:$N$3,MATCH(O559,H559:N559,0)))</f>
        <v/>
      </c>
      <c r="Q559" s="23">
        <f>IF(Refino!$L$10="","",G559*Refino!$L$10*(1-RetCraft))</f>
        <v/>
      </c>
      <c r="R559" s="25">
        <f>IF(Artefatos!$L$69="","",Artefatos!$L$69*(1+TaxaCompra))</f>
        <v/>
      </c>
      <c r="S559">
        <f>IF(Artefatos!$M$69="","",Artefatos!$M$69)</f>
        <v/>
      </c>
      <c r="T559" s="25">
        <f>G559*Refino!$D$10+Artefatos!$F$69</f>
        <v/>
      </c>
      <c r="U559" s="25">
        <f>T559*0.1125*FeeCraft/100</f>
        <v/>
      </c>
      <c r="V559" s="23">
        <f>IF(OR(Q559="",R559=""),"",Q559+R559+U559)</f>
        <v/>
      </c>
      <c r="W559" s="23">
        <f>IF(O559="","",O559*(1-TaxaVenda))</f>
        <v/>
      </c>
      <c r="X559" s="26">
        <f>IF(OR(V559="",W559=""),"",W559-V559)</f>
        <v/>
      </c>
      <c r="Y559" s="27">
        <f>IF(X559="","",X559/V559)</f>
        <v/>
      </c>
    </row>
    <row r="560">
      <c r="A560" t="inlineStr">
        <is>
          <t>Valor|Elmo|T5.1</t>
        </is>
      </c>
      <c r="B560" t="inlineStr">
        <is>
          <t>Valor</t>
        </is>
      </c>
      <c r="C560" t="inlineStr">
        <is>
          <t>Elmo</t>
        </is>
      </c>
      <c r="D560" t="inlineStr">
        <is>
          <t>T5.1</t>
        </is>
      </c>
      <c r="E560" t="n">
        <v>5</v>
      </c>
      <c r="F560" t="n">
        <v>1</v>
      </c>
      <c r="G560" t="n">
        <v>8</v>
      </c>
      <c r="H560" s="22" t="n"/>
      <c r="I560" s="22" t="n"/>
      <c r="J560" s="22" t="n"/>
      <c r="K560" s="22" t="n"/>
      <c r="L560" s="22" t="n"/>
      <c r="M560" s="22" t="n"/>
      <c r="N560" s="22" t="n"/>
      <c r="O560" s="23">
        <f>IF(COUNT(H560:N560)=0,"",MAX(H560:N560))</f>
        <v/>
      </c>
      <c r="P560" s="24">
        <f>IF(O560="","",INDEX($H$3:$N$3,MATCH(O560,H560:N560,0)))</f>
        <v/>
      </c>
      <c r="Q560" s="23">
        <f>IF(Refino!$L$11="","",G560*Refino!$L$11*(1-RetCraft))</f>
        <v/>
      </c>
      <c r="R560" s="25">
        <f>IF(Artefatos!$L$69="","",Artefatos!$L$69*(1+TaxaCompra))</f>
        <v/>
      </c>
      <c r="S560">
        <f>IF(Artefatos!$M$69="","",Artefatos!$M$69)</f>
        <v/>
      </c>
      <c r="T560" s="25">
        <f>G560*Refino!$D$11+Artefatos!$F$69</f>
        <v/>
      </c>
      <c r="U560" s="25">
        <f>T560*0.1125*FeeCraft/100</f>
        <v/>
      </c>
      <c r="V560" s="23">
        <f>IF(OR(Q560="",R560=""),"",Q560+R560+U560)</f>
        <v/>
      </c>
      <c r="W560" s="23">
        <f>IF(O560="","",O560*(1-TaxaVenda))</f>
        <v/>
      </c>
      <c r="X560" s="26">
        <f>IF(OR(V560="",W560=""),"",W560-V560)</f>
        <v/>
      </c>
      <c r="Y560" s="27">
        <f>IF(X560="","",X560/V560)</f>
        <v/>
      </c>
    </row>
    <row r="561">
      <c r="A561" t="inlineStr">
        <is>
          <t>Valor|Elmo|T5.2</t>
        </is>
      </c>
      <c r="B561" t="inlineStr">
        <is>
          <t>Valor</t>
        </is>
      </c>
      <c r="C561" t="inlineStr">
        <is>
          <t>Elmo</t>
        </is>
      </c>
      <c r="D561" t="inlineStr">
        <is>
          <t>T5.2</t>
        </is>
      </c>
      <c r="E561" t="n">
        <v>5</v>
      </c>
      <c r="F561" t="n">
        <v>2</v>
      </c>
      <c r="G561" t="n">
        <v>8</v>
      </c>
      <c r="H561" s="22" t="n"/>
      <c r="I561" s="22" t="n"/>
      <c r="J561" s="22" t="n"/>
      <c r="K561" s="22" t="n"/>
      <c r="L561" s="22" t="n"/>
      <c r="M561" s="22" t="n"/>
      <c r="N561" s="22" t="n"/>
      <c r="O561" s="23">
        <f>IF(COUNT(H561:N561)=0,"",MAX(H561:N561))</f>
        <v/>
      </c>
      <c r="P561" s="24">
        <f>IF(O561="","",INDEX($H$3:$N$3,MATCH(O561,H561:N561,0)))</f>
        <v/>
      </c>
      <c r="Q561" s="23">
        <f>IF(Refino!$L$12="","",G561*Refino!$L$12*(1-RetCraft))</f>
        <v/>
      </c>
      <c r="R561" s="25">
        <f>IF(Artefatos!$L$69="","",Artefatos!$L$69*(1+TaxaCompra))</f>
        <v/>
      </c>
      <c r="S561">
        <f>IF(Artefatos!$M$69="","",Artefatos!$M$69)</f>
        <v/>
      </c>
      <c r="T561" s="25">
        <f>G561*Refino!$D$12+Artefatos!$F$69</f>
        <v/>
      </c>
      <c r="U561" s="25">
        <f>T561*0.1125*FeeCraft/100</f>
        <v/>
      </c>
      <c r="V561" s="23">
        <f>IF(OR(Q561="",R561=""),"",Q561+R561+U561)</f>
        <v/>
      </c>
      <c r="W561" s="23">
        <f>IF(O561="","",O561*(1-TaxaVenda))</f>
        <v/>
      </c>
      <c r="X561" s="26">
        <f>IF(OR(V561="",W561=""),"",W561-V561)</f>
        <v/>
      </c>
      <c r="Y561" s="27">
        <f>IF(X561="","",X561/V561)</f>
        <v/>
      </c>
    </row>
    <row r="562">
      <c r="A562" t="inlineStr">
        <is>
          <t>Valor|Elmo|T5.3</t>
        </is>
      </c>
      <c r="B562" t="inlineStr">
        <is>
          <t>Valor</t>
        </is>
      </c>
      <c r="C562" t="inlineStr">
        <is>
          <t>Elmo</t>
        </is>
      </c>
      <c r="D562" t="inlineStr">
        <is>
          <t>T5.3</t>
        </is>
      </c>
      <c r="E562" t="n">
        <v>5</v>
      </c>
      <c r="F562" t="n">
        <v>3</v>
      </c>
      <c r="G562" t="n">
        <v>8</v>
      </c>
      <c r="H562" s="22" t="n"/>
      <c r="I562" s="22" t="n"/>
      <c r="J562" s="22" t="n"/>
      <c r="K562" s="22" t="n"/>
      <c r="L562" s="22" t="n"/>
      <c r="M562" s="22" t="n"/>
      <c r="N562" s="22" t="n"/>
      <c r="O562" s="23">
        <f>IF(COUNT(H562:N562)=0,"",MAX(H562:N562))</f>
        <v/>
      </c>
      <c r="P562" s="24">
        <f>IF(O562="","",INDEX($H$3:$N$3,MATCH(O562,H562:N562,0)))</f>
        <v/>
      </c>
      <c r="Q562" s="23">
        <f>IF(Refino!$L$13="","",G562*Refino!$L$13*(1-RetCraft))</f>
        <v/>
      </c>
      <c r="R562" s="25">
        <f>IF(Artefatos!$L$69="","",Artefatos!$L$69*(1+TaxaCompra))</f>
        <v/>
      </c>
      <c r="S562">
        <f>IF(Artefatos!$M$69="","",Artefatos!$M$69)</f>
        <v/>
      </c>
      <c r="T562" s="25">
        <f>G562*Refino!$D$13+Artefatos!$F$69</f>
        <v/>
      </c>
      <c r="U562" s="25">
        <f>T562*0.1125*FeeCraft/100</f>
        <v/>
      </c>
      <c r="V562" s="23">
        <f>IF(OR(Q562="",R562=""),"",Q562+R562+U562)</f>
        <v/>
      </c>
      <c r="W562" s="23">
        <f>IF(O562="","",O562*(1-TaxaVenda))</f>
        <v/>
      </c>
      <c r="X562" s="26">
        <f>IF(OR(V562="",W562=""),"",W562-V562)</f>
        <v/>
      </c>
      <c r="Y562" s="27">
        <f>IF(X562="","",X562/V562)</f>
        <v/>
      </c>
    </row>
    <row r="563">
      <c r="A563" t="inlineStr">
        <is>
          <t>Valor|Elmo|T5.4</t>
        </is>
      </c>
      <c r="B563" t="inlineStr">
        <is>
          <t>Valor</t>
        </is>
      </c>
      <c r="C563" t="inlineStr">
        <is>
          <t>Elmo</t>
        </is>
      </c>
      <c r="D563" t="inlineStr">
        <is>
          <t>T5.4</t>
        </is>
      </c>
      <c r="E563" t="n">
        <v>5</v>
      </c>
      <c r="F563" t="n">
        <v>4</v>
      </c>
      <c r="G563" t="n">
        <v>8</v>
      </c>
      <c r="H563" s="22" t="n"/>
      <c r="I563" s="22" t="n"/>
      <c r="J563" s="22" t="n"/>
      <c r="K563" s="22" t="n"/>
      <c r="L563" s="22" t="n"/>
      <c r="M563" s="22" t="n"/>
      <c r="N563" s="22" t="n"/>
      <c r="O563" s="23">
        <f>IF(COUNT(H563:N563)=0,"",MAX(H563:N563))</f>
        <v/>
      </c>
      <c r="P563" s="24">
        <f>IF(O563="","",INDEX($H$3:$N$3,MATCH(O563,H563:N563,0)))</f>
        <v/>
      </c>
      <c r="Q563" s="23">
        <f>IF(Refino!$L$14="","",G563*Refino!$L$14*(1-RetCraft))</f>
        <v/>
      </c>
      <c r="R563" s="25">
        <f>IF(Artefatos!$L$69="","",Artefatos!$L$69*(1+TaxaCompra))</f>
        <v/>
      </c>
      <c r="S563">
        <f>IF(Artefatos!$M$69="","",Artefatos!$M$69)</f>
        <v/>
      </c>
      <c r="T563" s="25">
        <f>G563*Refino!$D$14+Artefatos!$F$69</f>
        <v/>
      </c>
      <c r="U563" s="25">
        <f>T563*0.1125*FeeCraft/100</f>
        <v/>
      </c>
      <c r="V563" s="23">
        <f>IF(OR(Q563="",R563=""),"",Q563+R563+U563)</f>
        <v/>
      </c>
      <c r="W563" s="23">
        <f>IF(O563="","",O563*(1-TaxaVenda))</f>
        <v/>
      </c>
      <c r="X563" s="26">
        <f>IF(OR(V563="",W563=""),"",W563-V563)</f>
        <v/>
      </c>
      <c r="Y563" s="27">
        <f>IF(X563="","",X563/V563)</f>
        <v/>
      </c>
    </row>
    <row r="564">
      <c r="A564" t="inlineStr">
        <is>
          <t>Valor|Elmo|T6.0</t>
        </is>
      </c>
      <c r="B564" t="inlineStr">
        <is>
          <t>Valor</t>
        </is>
      </c>
      <c r="C564" t="inlineStr">
        <is>
          <t>Elmo</t>
        </is>
      </c>
      <c r="D564" t="inlineStr">
        <is>
          <t>T6.0</t>
        </is>
      </c>
      <c r="E564" t="n">
        <v>6</v>
      </c>
      <c r="F564" t="n">
        <v>0</v>
      </c>
      <c r="G564" t="n">
        <v>8</v>
      </c>
      <c r="H564" s="22" t="n"/>
      <c r="I564" s="22" t="n"/>
      <c r="J564" s="22" t="n"/>
      <c r="K564" s="22" t="n"/>
      <c r="L564" s="22" t="n"/>
      <c r="M564" s="22" t="n"/>
      <c r="N564" s="22" t="n"/>
      <c r="O564" s="23">
        <f>IF(COUNT(H564:N564)=0,"",MAX(H564:N564))</f>
        <v/>
      </c>
      <c r="P564" s="24">
        <f>IF(O564="","",INDEX($H$3:$N$3,MATCH(O564,H564:N564,0)))</f>
        <v/>
      </c>
      <c r="Q564" s="23">
        <f>IF(Refino!$L$15="","",G564*Refino!$L$15*(1-RetCraft))</f>
        <v/>
      </c>
      <c r="R564" s="25">
        <f>IF(Artefatos!$L$70="","",Artefatos!$L$70*(1+TaxaCompra))</f>
        <v/>
      </c>
      <c r="S564">
        <f>IF(Artefatos!$M$70="","",Artefatos!$M$70)</f>
        <v/>
      </c>
      <c r="T564" s="25">
        <f>G564*Refino!$D$15+Artefatos!$F$70</f>
        <v/>
      </c>
      <c r="U564" s="25">
        <f>T564*0.1125*FeeCraft/100</f>
        <v/>
      </c>
      <c r="V564" s="23">
        <f>IF(OR(Q564="",R564=""),"",Q564+R564+U564)</f>
        <v/>
      </c>
      <c r="W564" s="23">
        <f>IF(O564="","",O564*(1-TaxaVenda))</f>
        <v/>
      </c>
      <c r="X564" s="26">
        <f>IF(OR(V564="",W564=""),"",W564-V564)</f>
        <v/>
      </c>
      <c r="Y564" s="27">
        <f>IF(X564="","",X564/V564)</f>
        <v/>
      </c>
    </row>
    <row r="565">
      <c r="A565" t="inlineStr">
        <is>
          <t>Valor|Elmo|T6.1</t>
        </is>
      </c>
      <c r="B565" t="inlineStr">
        <is>
          <t>Valor</t>
        </is>
      </c>
      <c r="C565" t="inlineStr">
        <is>
          <t>Elmo</t>
        </is>
      </c>
      <c r="D565" t="inlineStr">
        <is>
          <t>T6.1</t>
        </is>
      </c>
      <c r="E565" t="n">
        <v>6</v>
      </c>
      <c r="F565" t="n">
        <v>1</v>
      </c>
      <c r="G565" t="n">
        <v>8</v>
      </c>
      <c r="H565" s="22" t="n"/>
      <c r="I565" s="22" t="n"/>
      <c r="J565" s="22" t="n"/>
      <c r="K565" s="22" t="n"/>
      <c r="L565" s="22" t="n"/>
      <c r="M565" s="22" t="n"/>
      <c r="N565" s="22" t="n"/>
      <c r="O565" s="23">
        <f>IF(COUNT(H565:N565)=0,"",MAX(H565:N565))</f>
        <v/>
      </c>
      <c r="P565" s="24">
        <f>IF(O565="","",INDEX($H$3:$N$3,MATCH(O565,H565:N565,0)))</f>
        <v/>
      </c>
      <c r="Q565" s="23">
        <f>IF(Refino!$L$16="","",G565*Refino!$L$16*(1-RetCraft))</f>
        <v/>
      </c>
      <c r="R565" s="25">
        <f>IF(Artefatos!$L$70="","",Artefatos!$L$70*(1+TaxaCompra))</f>
        <v/>
      </c>
      <c r="S565">
        <f>IF(Artefatos!$M$70="","",Artefatos!$M$70)</f>
        <v/>
      </c>
      <c r="T565" s="25">
        <f>G565*Refino!$D$16+Artefatos!$F$70</f>
        <v/>
      </c>
      <c r="U565" s="25">
        <f>T565*0.1125*FeeCraft/100</f>
        <v/>
      </c>
      <c r="V565" s="23">
        <f>IF(OR(Q565="",R565=""),"",Q565+R565+U565)</f>
        <v/>
      </c>
      <c r="W565" s="23">
        <f>IF(O565="","",O565*(1-TaxaVenda))</f>
        <v/>
      </c>
      <c r="X565" s="26">
        <f>IF(OR(V565="",W565=""),"",W565-V565)</f>
        <v/>
      </c>
      <c r="Y565" s="27">
        <f>IF(X565="","",X565/V565)</f>
        <v/>
      </c>
    </row>
    <row r="566">
      <c r="A566" t="inlineStr">
        <is>
          <t>Valor|Elmo|T6.2</t>
        </is>
      </c>
      <c r="B566" t="inlineStr">
        <is>
          <t>Valor</t>
        </is>
      </c>
      <c r="C566" t="inlineStr">
        <is>
          <t>Elmo</t>
        </is>
      </c>
      <c r="D566" t="inlineStr">
        <is>
          <t>T6.2</t>
        </is>
      </c>
      <c r="E566" t="n">
        <v>6</v>
      </c>
      <c r="F566" t="n">
        <v>2</v>
      </c>
      <c r="G566" t="n">
        <v>8</v>
      </c>
      <c r="H566" s="22" t="n"/>
      <c r="I566" s="22" t="n"/>
      <c r="J566" s="22" t="n"/>
      <c r="K566" s="22" t="n"/>
      <c r="L566" s="22" t="n"/>
      <c r="M566" s="22" t="n"/>
      <c r="N566" s="22" t="n"/>
      <c r="O566" s="23">
        <f>IF(COUNT(H566:N566)=0,"",MAX(H566:N566))</f>
        <v/>
      </c>
      <c r="P566" s="24">
        <f>IF(O566="","",INDEX($H$3:$N$3,MATCH(O566,H566:N566,0)))</f>
        <v/>
      </c>
      <c r="Q566" s="23">
        <f>IF(Refino!$L$17="","",G566*Refino!$L$17*(1-RetCraft))</f>
        <v/>
      </c>
      <c r="R566" s="25">
        <f>IF(Artefatos!$L$70="","",Artefatos!$L$70*(1+TaxaCompra))</f>
        <v/>
      </c>
      <c r="S566">
        <f>IF(Artefatos!$M$70="","",Artefatos!$M$70)</f>
        <v/>
      </c>
      <c r="T566" s="25">
        <f>G566*Refino!$D$17+Artefatos!$F$70</f>
        <v/>
      </c>
      <c r="U566" s="25">
        <f>T566*0.1125*FeeCraft/100</f>
        <v/>
      </c>
      <c r="V566" s="23">
        <f>IF(OR(Q566="",R566=""),"",Q566+R566+U566)</f>
        <v/>
      </c>
      <c r="W566" s="23">
        <f>IF(O566="","",O566*(1-TaxaVenda))</f>
        <v/>
      </c>
      <c r="X566" s="26">
        <f>IF(OR(V566="",W566=""),"",W566-V566)</f>
        <v/>
      </c>
      <c r="Y566" s="27">
        <f>IF(X566="","",X566/V566)</f>
        <v/>
      </c>
    </row>
    <row r="567">
      <c r="A567" t="inlineStr">
        <is>
          <t>Valor|Elmo|T6.3</t>
        </is>
      </c>
      <c r="B567" t="inlineStr">
        <is>
          <t>Valor</t>
        </is>
      </c>
      <c r="C567" t="inlineStr">
        <is>
          <t>Elmo</t>
        </is>
      </c>
      <c r="D567" t="inlineStr">
        <is>
          <t>T6.3</t>
        </is>
      </c>
      <c r="E567" t="n">
        <v>6</v>
      </c>
      <c r="F567" t="n">
        <v>3</v>
      </c>
      <c r="G567" t="n">
        <v>8</v>
      </c>
      <c r="H567" s="22" t="n"/>
      <c r="I567" s="22" t="n"/>
      <c r="J567" s="22" t="n"/>
      <c r="K567" s="22" t="n"/>
      <c r="L567" s="22" t="n"/>
      <c r="M567" s="22" t="n"/>
      <c r="N567" s="22" t="n"/>
      <c r="O567" s="23">
        <f>IF(COUNT(H567:N567)=0,"",MAX(H567:N567))</f>
        <v/>
      </c>
      <c r="P567" s="24">
        <f>IF(O567="","",INDEX($H$3:$N$3,MATCH(O567,H567:N567,0)))</f>
        <v/>
      </c>
      <c r="Q567" s="23">
        <f>IF(Refino!$L$18="","",G567*Refino!$L$18*(1-RetCraft))</f>
        <v/>
      </c>
      <c r="R567" s="25">
        <f>IF(Artefatos!$L$70="","",Artefatos!$L$70*(1+TaxaCompra))</f>
        <v/>
      </c>
      <c r="S567">
        <f>IF(Artefatos!$M$70="","",Artefatos!$M$70)</f>
        <v/>
      </c>
      <c r="T567" s="25">
        <f>G567*Refino!$D$18+Artefatos!$F$70</f>
        <v/>
      </c>
      <c r="U567" s="25">
        <f>T567*0.1125*FeeCraft/100</f>
        <v/>
      </c>
      <c r="V567" s="23">
        <f>IF(OR(Q567="",R567=""),"",Q567+R567+U567)</f>
        <v/>
      </c>
      <c r="W567" s="23">
        <f>IF(O567="","",O567*(1-TaxaVenda))</f>
        <v/>
      </c>
      <c r="X567" s="26">
        <f>IF(OR(V567="",W567=""),"",W567-V567)</f>
        <v/>
      </c>
      <c r="Y567" s="27">
        <f>IF(X567="","",X567/V567)</f>
        <v/>
      </c>
    </row>
    <row r="568">
      <c r="A568" t="inlineStr">
        <is>
          <t>Valor|Elmo|T6.4</t>
        </is>
      </c>
      <c r="B568" t="inlineStr">
        <is>
          <t>Valor</t>
        </is>
      </c>
      <c r="C568" t="inlineStr">
        <is>
          <t>Elmo</t>
        </is>
      </c>
      <c r="D568" t="inlineStr">
        <is>
          <t>T6.4</t>
        </is>
      </c>
      <c r="E568" t="n">
        <v>6</v>
      </c>
      <c r="F568" t="n">
        <v>4</v>
      </c>
      <c r="G568" t="n">
        <v>8</v>
      </c>
      <c r="H568" s="22" t="n"/>
      <c r="I568" s="22" t="n"/>
      <c r="J568" s="22" t="n"/>
      <c r="K568" s="22" t="n"/>
      <c r="L568" s="22" t="n"/>
      <c r="M568" s="22" t="n"/>
      <c r="N568" s="22" t="n"/>
      <c r="O568" s="23">
        <f>IF(COUNT(H568:N568)=0,"",MAX(H568:N568))</f>
        <v/>
      </c>
      <c r="P568" s="24">
        <f>IF(O568="","",INDEX($H$3:$N$3,MATCH(O568,H568:N568,0)))</f>
        <v/>
      </c>
      <c r="Q568" s="23">
        <f>IF(Refino!$L$19="","",G568*Refino!$L$19*(1-RetCraft))</f>
        <v/>
      </c>
      <c r="R568" s="25">
        <f>IF(Artefatos!$L$70="","",Artefatos!$L$70*(1+TaxaCompra))</f>
        <v/>
      </c>
      <c r="S568">
        <f>IF(Artefatos!$M$70="","",Artefatos!$M$70)</f>
        <v/>
      </c>
      <c r="T568" s="25">
        <f>G568*Refino!$D$19+Artefatos!$F$70</f>
        <v/>
      </c>
      <c r="U568" s="25">
        <f>T568*0.1125*FeeCraft/100</f>
        <v/>
      </c>
      <c r="V568" s="23">
        <f>IF(OR(Q568="",R568=""),"",Q568+R568+U568)</f>
        <v/>
      </c>
      <c r="W568" s="23">
        <f>IF(O568="","",O568*(1-TaxaVenda))</f>
        <v/>
      </c>
      <c r="X568" s="26">
        <f>IF(OR(V568="",W568=""),"",W568-V568)</f>
        <v/>
      </c>
      <c r="Y568" s="27">
        <f>IF(X568="","",X568/V568)</f>
        <v/>
      </c>
    </row>
    <row r="569">
      <c r="A569" t="inlineStr">
        <is>
          <t>Valor|Elmo|T7.0</t>
        </is>
      </c>
      <c r="B569" t="inlineStr">
        <is>
          <t>Valor</t>
        </is>
      </c>
      <c r="C569" t="inlineStr">
        <is>
          <t>Elmo</t>
        </is>
      </c>
      <c r="D569" t="inlineStr">
        <is>
          <t>T7.0</t>
        </is>
      </c>
      <c r="E569" t="n">
        <v>7</v>
      </c>
      <c r="F569" t="n">
        <v>0</v>
      </c>
      <c r="G569" t="n">
        <v>8</v>
      </c>
      <c r="H569" s="22" t="n"/>
      <c r="I569" s="22" t="n"/>
      <c r="J569" s="22" t="n"/>
      <c r="K569" s="22" t="n"/>
      <c r="L569" s="22" t="n"/>
      <c r="M569" s="22" t="n"/>
      <c r="N569" s="22" t="n"/>
      <c r="O569" s="23">
        <f>IF(COUNT(H569:N569)=0,"",MAX(H569:N569))</f>
        <v/>
      </c>
      <c r="P569" s="24">
        <f>IF(O569="","",INDEX($H$3:$N$3,MATCH(O569,H569:N569,0)))</f>
        <v/>
      </c>
      <c r="Q569" s="23">
        <f>IF(Refino!$L$20="","",G569*Refino!$L$20*(1-RetCraft))</f>
        <v/>
      </c>
      <c r="R569" s="25">
        <f>IF(Artefatos!$L$71="","",Artefatos!$L$71*(1+TaxaCompra))</f>
        <v/>
      </c>
      <c r="S569">
        <f>IF(Artefatos!$M$71="","",Artefatos!$M$71)</f>
        <v/>
      </c>
      <c r="T569" s="25">
        <f>G569*Refino!$D$20+Artefatos!$F$71</f>
        <v/>
      </c>
      <c r="U569" s="25">
        <f>T569*0.1125*FeeCraft/100</f>
        <v/>
      </c>
      <c r="V569" s="23">
        <f>IF(OR(Q569="",R569=""),"",Q569+R569+U569)</f>
        <v/>
      </c>
      <c r="W569" s="23">
        <f>IF(O569="","",O569*(1-TaxaVenda))</f>
        <v/>
      </c>
      <c r="X569" s="26">
        <f>IF(OR(V569="",W569=""),"",W569-V569)</f>
        <v/>
      </c>
      <c r="Y569" s="27">
        <f>IF(X569="","",X569/V569)</f>
        <v/>
      </c>
    </row>
    <row r="570">
      <c r="A570" t="inlineStr">
        <is>
          <t>Valor|Elmo|T7.1</t>
        </is>
      </c>
      <c r="B570" t="inlineStr">
        <is>
          <t>Valor</t>
        </is>
      </c>
      <c r="C570" t="inlineStr">
        <is>
          <t>Elmo</t>
        </is>
      </c>
      <c r="D570" t="inlineStr">
        <is>
          <t>T7.1</t>
        </is>
      </c>
      <c r="E570" t="n">
        <v>7</v>
      </c>
      <c r="F570" t="n">
        <v>1</v>
      </c>
      <c r="G570" t="n">
        <v>8</v>
      </c>
      <c r="H570" s="22" t="n"/>
      <c r="I570" s="22" t="n"/>
      <c r="J570" s="22" t="n"/>
      <c r="K570" s="22" t="n"/>
      <c r="L570" s="22" t="n"/>
      <c r="M570" s="22" t="n"/>
      <c r="N570" s="22" t="n"/>
      <c r="O570" s="23">
        <f>IF(COUNT(H570:N570)=0,"",MAX(H570:N570))</f>
        <v/>
      </c>
      <c r="P570" s="24">
        <f>IF(O570="","",INDEX($H$3:$N$3,MATCH(O570,H570:N570,0)))</f>
        <v/>
      </c>
      <c r="Q570" s="23">
        <f>IF(Refino!$L$21="","",G570*Refino!$L$21*(1-RetCraft))</f>
        <v/>
      </c>
      <c r="R570" s="25">
        <f>IF(Artefatos!$L$71="","",Artefatos!$L$71*(1+TaxaCompra))</f>
        <v/>
      </c>
      <c r="S570">
        <f>IF(Artefatos!$M$71="","",Artefatos!$M$71)</f>
        <v/>
      </c>
      <c r="T570" s="25">
        <f>G570*Refino!$D$21+Artefatos!$F$71</f>
        <v/>
      </c>
      <c r="U570" s="25">
        <f>T570*0.1125*FeeCraft/100</f>
        <v/>
      </c>
      <c r="V570" s="23">
        <f>IF(OR(Q570="",R570=""),"",Q570+R570+U570)</f>
        <v/>
      </c>
      <c r="W570" s="23">
        <f>IF(O570="","",O570*(1-TaxaVenda))</f>
        <v/>
      </c>
      <c r="X570" s="26">
        <f>IF(OR(V570="",W570=""),"",W570-V570)</f>
        <v/>
      </c>
      <c r="Y570" s="27">
        <f>IF(X570="","",X570/V570)</f>
        <v/>
      </c>
    </row>
    <row r="571">
      <c r="A571" t="inlineStr">
        <is>
          <t>Valor|Elmo|T7.2</t>
        </is>
      </c>
      <c r="B571" t="inlineStr">
        <is>
          <t>Valor</t>
        </is>
      </c>
      <c r="C571" t="inlineStr">
        <is>
          <t>Elmo</t>
        </is>
      </c>
      <c r="D571" t="inlineStr">
        <is>
          <t>T7.2</t>
        </is>
      </c>
      <c r="E571" t="n">
        <v>7</v>
      </c>
      <c r="F571" t="n">
        <v>2</v>
      </c>
      <c r="G571" t="n">
        <v>8</v>
      </c>
      <c r="H571" s="22" t="n"/>
      <c r="I571" s="22" t="n"/>
      <c r="J571" s="22" t="n"/>
      <c r="K571" s="22" t="n"/>
      <c r="L571" s="22" t="n"/>
      <c r="M571" s="22" t="n"/>
      <c r="N571" s="22" t="n"/>
      <c r="O571" s="23">
        <f>IF(COUNT(H571:N571)=0,"",MAX(H571:N571))</f>
        <v/>
      </c>
      <c r="P571" s="24">
        <f>IF(O571="","",INDEX($H$3:$N$3,MATCH(O571,H571:N571,0)))</f>
        <v/>
      </c>
      <c r="Q571" s="23">
        <f>IF(Refino!$L$22="","",G571*Refino!$L$22*(1-RetCraft))</f>
        <v/>
      </c>
      <c r="R571" s="25">
        <f>IF(Artefatos!$L$71="","",Artefatos!$L$71*(1+TaxaCompra))</f>
        <v/>
      </c>
      <c r="S571">
        <f>IF(Artefatos!$M$71="","",Artefatos!$M$71)</f>
        <v/>
      </c>
      <c r="T571" s="25">
        <f>G571*Refino!$D$22+Artefatos!$F$71</f>
        <v/>
      </c>
      <c r="U571" s="25">
        <f>T571*0.1125*FeeCraft/100</f>
        <v/>
      </c>
      <c r="V571" s="23">
        <f>IF(OR(Q571="",R571=""),"",Q571+R571+U571)</f>
        <v/>
      </c>
      <c r="W571" s="23">
        <f>IF(O571="","",O571*(1-TaxaVenda))</f>
        <v/>
      </c>
      <c r="X571" s="26">
        <f>IF(OR(V571="",W571=""),"",W571-V571)</f>
        <v/>
      </c>
      <c r="Y571" s="27">
        <f>IF(X571="","",X571/V571)</f>
        <v/>
      </c>
    </row>
    <row r="572">
      <c r="A572" t="inlineStr">
        <is>
          <t>Valor|Elmo|T7.3</t>
        </is>
      </c>
      <c r="B572" t="inlineStr">
        <is>
          <t>Valor</t>
        </is>
      </c>
      <c r="C572" t="inlineStr">
        <is>
          <t>Elmo</t>
        </is>
      </c>
      <c r="D572" t="inlineStr">
        <is>
          <t>T7.3</t>
        </is>
      </c>
      <c r="E572" t="n">
        <v>7</v>
      </c>
      <c r="F572" t="n">
        <v>3</v>
      </c>
      <c r="G572" t="n">
        <v>8</v>
      </c>
      <c r="H572" s="22" t="n"/>
      <c r="I572" s="22" t="n"/>
      <c r="J572" s="22" t="n"/>
      <c r="K572" s="22" t="n"/>
      <c r="L572" s="22" t="n"/>
      <c r="M572" s="22" t="n"/>
      <c r="N572" s="22" t="n"/>
      <c r="O572" s="23">
        <f>IF(COUNT(H572:N572)=0,"",MAX(H572:N572))</f>
        <v/>
      </c>
      <c r="P572" s="24">
        <f>IF(O572="","",INDEX($H$3:$N$3,MATCH(O572,H572:N572,0)))</f>
        <v/>
      </c>
      <c r="Q572" s="23">
        <f>IF(Refino!$L$23="","",G572*Refino!$L$23*(1-RetCraft))</f>
        <v/>
      </c>
      <c r="R572" s="25">
        <f>IF(Artefatos!$L$71="","",Artefatos!$L$71*(1+TaxaCompra))</f>
        <v/>
      </c>
      <c r="S572">
        <f>IF(Artefatos!$M$71="","",Artefatos!$M$71)</f>
        <v/>
      </c>
      <c r="T572" s="25">
        <f>G572*Refino!$D$23+Artefatos!$F$71</f>
        <v/>
      </c>
      <c r="U572" s="25">
        <f>T572*0.1125*FeeCraft/100</f>
        <v/>
      </c>
      <c r="V572" s="23">
        <f>IF(OR(Q572="",R572=""),"",Q572+R572+U572)</f>
        <v/>
      </c>
      <c r="W572" s="23">
        <f>IF(O572="","",O572*(1-TaxaVenda))</f>
        <v/>
      </c>
      <c r="X572" s="26">
        <f>IF(OR(V572="",W572=""),"",W572-V572)</f>
        <v/>
      </c>
      <c r="Y572" s="27">
        <f>IF(X572="","",X572/V572)</f>
        <v/>
      </c>
    </row>
    <row r="573">
      <c r="A573" t="inlineStr">
        <is>
          <t>Valor|Elmo|T7.4</t>
        </is>
      </c>
      <c r="B573" t="inlineStr">
        <is>
          <t>Valor</t>
        </is>
      </c>
      <c r="C573" t="inlineStr">
        <is>
          <t>Elmo</t>
        </is>
      </c>
      <c r="D573" t="inlineStr">
        <is>
          <t>T7.4</t>
        </is>
      </c>
      <c r="E573" t="n">
        <v>7</v>
      </c>
      <c r="F573" t="n">
        <v>4</v>
      </c>
      <c r="G573" t="n">
        <v>8</v>
      </c>
      <c r="H573" s="22" t="n"/>
      <c r="I573" s="22" t="n"/>
      <c r="J573" s="22" t="n"/>
      <c r="K573" s="22" t="n"/>
      <c r="L573" s="22" t="n"/>
      <c r="M573" s="22" t="n"/>
      <c r="N573" s="22" t="n"/>
      <c r="O573" s="23">
        <f>IF(COUNT(H573:N573)=0,"",MAX(H573:N573))</f>
        <v/>
      </c>
      <c r="P573" s="24">
        <f>IF(O573="","",INDEX($H$3:$N$3,MATCH(O573,H573:N573,0)))</f>
        <v/>
      </c>
      <c r="Q573" s="23">
        <f>IF(Refino!$L$24="","",G573*Refino!$L$24*(1-RetCraft))</f>
        <v/>
      </c>
      <c r="R573" s="25">
        <f>IF(Artefatos!$L$71="","",Artefatos!$L$71*(1+TaxaCompra))</f>
        <v/>
      </c>
      <c r="S573">
        <f>IF(Artefatos!$M$71="","",Artefatos!$M$71)</f>
        <v/>
      </c>
      <c r="T573" s="25">
        <f>G573*Refino!$D$24+Artefatos!$F$71</f>
        <v/>
      </c>
      <c r="U573" s="25">
        <f>T573*0.1125*FeeCraft/100</f>
        <v/>
      </c>
      <c r="V573" s="23">
        <f>IF(OR(Q573="",R573=""),"",Q573+R573+U573)</f>
        <v/>
      </c>
      <c r="W573" s="23">
        <f>IF(O573="","",O573*(1-TaxaVenda))</f>
        <v/>
      </c>
      <c r="X573" s="26">
        <f>IF(OR(V573="",W573=""),"",W573-V573)</f>
        <v/>
      </c>
      <c r="Y573" s="27">
        <f>IF(X573="","",X573/V573)</f>
        <v/>
      </c>
    </row>
    <row r="574">
      <c r="A574" t="inlineStr">
        <is>
          <t>Valor|Elmo|T8.0</t>
        </is>
      </c>
      <c r="B574" t="inlineStr">
        <is>
          <t>Valor</t>
        </is>
      </c>
      <c r="C574" t="inlineStr">
        <is>
          <t>Elmo</t>
        </is>
      </c>
      <c r="D574" t="inlineStr">
        <is>
          <t>T8.0</t>
        </is>
      </c>
      <c r="E574" t="n">
        <v>8</v>
      </c>
      <c r="F574" t="n">
        <v>0</v>
      </c>
      <c r="G574" t="n">
        <v>8</v>
      </c>
      <c r="H574" s="22" t="n"/>
      <c r="I574" s="22" t="n"/>
      <c r="J574" s="22" t="n"/>
      <c r="K574" s="22" t="n"/>
      <c r="L574" s="22" t="n"/>
      <c r="M574" s="22" t="n"/>
      <c r="N574" s="22" t="n"/>
      <c r="O574" s="23">
        <f>IF(COUNT(H574:N574)=0,"",MAX(H574:N574))</f>
        <v/>
      </c>
      <c r="P574" s="24">
        <f>IF(O574="","",INDEX($H$3:$N$3,MATCH(O574,H574:N574,0)))</f>
        <v/>
      </c>
      <c r="Q574" s="23">
        <f>IF(Refino!$L$25="","",G574*Refino!$L$25*(1-RetCraft))</f>
        <v/>
      </c>
      <c r="R574" s="25">
        <f>IF(Artefatos!$L$72="","",Artefatos!$L$72*(1+TaxaCompra))</f>
        <v/>
      </c>
      <c r="S574">
        <f>IF(Artefatos!$M$72="","",Artefatos!$M$72)</f>
        <v/>
      </c>
      <c r="T574" s="25">
        <f>G574*Refino!$D$25+Artefatos!$F$72</f>
        <v/>
      </c>
      <c r="U574" s="25">
        <f>T574*0.1125*FeeCraft/100</f>
        <v/>
      </c>
      <c r="V574" s="23">
        <f>IF(OR(Q574="",R574=""),"",Q574+R574+U574)</f>
        <v/>
      </c>
      <c r="W574" s="23">
        <f>IF(O574="","",O574*(1-TaxaVenda))</f>
        <v/>
      </c>
      <c r="X574" s="26">
        <f>IF(OR(V574="",W574=""),"",W574-V574)</f>
        <v/>
      </c>
      <c r="Y574" s="27">
        <f>IF(X574="","",X574/V574)</f>
        <v/>
      </c>
    </row>
    <row r="575">
      <c r="A575" t="inlineStr">
        <is>
          <t>Valor|Elmo|T8.1</t>
        </is>
      </c>
      <c r="B575" t="inlineStr">
        <is>
          <t>Valor</t>
        </is>
      </c>
      <c r="C575" t="inlineStr">
        <is>
          <t>Elmo</t>
        </is>
      </c>
      <c r="D575" t="inlineStr">
        <is>
          <t>T8.1</t>
        </is>
      </c>
      <c r="E575" t="n">
        <v>8</v>
      </c>
      <c r="F575" t="n">
        <v>1</v>
      </c>
      <c r="G575" t="n">
        <v>8</v>
      </c>
      <c r="H575" s="22" t="n"/>
      <c r="I575" s="22" t="n"/>
      <c r="J575" s="22" t="n"/>
      <c r="K575" s="22" t="n"/>
      <c r="L575" s="22" t="n"/>
      <c r="M575" s="22" t="n"/>
      <c r="N575" s="22" t="n"/>
      <c r="O575" s="23">
        <f>IF(COUNT(H575:N575)=0,"",MAX(H575:N575))</f>
        <v/>
      </c>
      <c r="P575" s="24">
        <f>IF(O575="","",INDEX($H$3:$N$3,MATCH(O575,H575:N575,0)))</f>
        <v/>
      </c>
      <c r="Q575" s="23">
        <f>IF(Refino!$L$26="","",G575*Refino!$L$26*(1-RetCraft))</f>
        <v/>
      </c>
      <c r="R575" s="25">
        <f>IF(Artefatos!$L$72="","",Artefatos!$L$72*(1+TaxaCompra))</f>
        <v/>
      </c>
      <c r="S575">
        <f>IF(Artefatos!$M$72="","",Artefatos!$M$72)</f>
        <v/>
      </c>
      <c r="T575" s="25">
        <f>G575*Refino!$D$26+Artefatos!$F$72</f>
        <v/>
      </c>
      <c r="U575" s="25">
        <f>T575*0.1125*FeeCraft/100</f>
        <v/>
      </c>
      <c r="V575" s="23">
        <f>IF(OR(Q575="",R575=""),"",Q575+R575+U575)</f>
        <v/>
      </c>
      <c r="W575" s="23">
        <f>IF(O575="","",O575*(1-TaxaVenda))</f>
        <v/>
      </c>
      <c r="X575" s="26">
        <f>IF(OR(V575="",W575=""),"",W575-V575)</f>
        <v/>
      </c>
      <c r="Y575" s="27">
        <f>IF(X575="","",X575/V575)</f>
        <v/>
      </c>
    </row>
    <row r="576">
      <c r="A576" t="inlineStr">
        <is>
          <t>Valor|Elmo|T8.2</t>
        </is>
      </c>
      <c r="B576" t="inlineStr">
        <is>
          <t>Valor</t>
        </is>
      </c>
      <c r="C576" t="inlineStr">
        <is>
          <t>Elmo</t>
        </is>
      </c>
      <c r="D576" t="inlineStr">
        <is>
          <t>T8.2</t>
        </is>
      </c>
      <c r="E576" t="n">
        <v>8</v>
      </c>
      <c r="F576" t="n">
        <v>2</v>
      </c>
      <c r="G576" t="n">
        <v>8</v>
      </c>
      <c r="H576" s="22" t="n"/>
      <c r="I576" s="22" t="n"/>
      <c r="J576" s="22" t="n"/>
      <c r="K576" s="22" t="n"/>
      <c r="L576" s="22" t="n"/>
      <c r="M576" s="22" t="n"/>
      <c r="N576" s="22" t="n"/>
      <c r="O576" s="23">
        <f>IF(COUNT(H576:N576)=0,"",MAX(H576:N576))</f>
        <v/>
      </c>
      <c r="P576" s="24">
        <f>IF(O576="","",INDEX($H$3:$N$3,MATCH(O576,H576:N576,0)))</f>
        <v/>
      </c>
      <c r="Q576" s="23">
        <f>IF(Refino!$L$27="","",G576*Refino!$L$27*(1-RetCraft))</f>
        <v/>
      </c>
      <c r="R576" s="25">
        <f>IF(Artefatos!$L$72="","",Artefatos!$L$72*(1+TaxaCompra))</f>
        <v/>
      </c>
      <c r="S576">
        <f>IF(Artefatos!$M$72="","",Artefatos!$M$72)</f>
        <v/>
      </c>
      <c r="T576" s="25">
        <f>G576*Refino!$D$27+Artefatos!$F$72</f>
        <v/>
      </c>
      <c r="U576" s="25">
        <f>T576*0.1125*FeeCraft/100</f>
        <v/>
      </c>
      <c r="V576" s="23">
        <f>IF(OR(Q576="",R576=""),"",Q576+R576+U576)</f>
        <v/>
      </c>
      <c r="W576" s="23">
        <f>IF(O576="","",O576*(1-TaxaVenda))</f>
        <v/>
      </c>
      <c r="X576" s="26">
        <f>IF(OR(V576="",W576=""),"",W576-V576)</f>
        <v/>
      </c>
      <c r="Y576" s="27">
        <f>IF(X576="","",X576/V576)</f>
        <v/>
      </c>
    </row>
    <row r="577">
      <c r="A577" t="inlineStr">
        <is>
          <t>Valor|Elmo|T8.3</t>
        </is>
      </c>
      <c r="B577" t="inlineStr">
        <is>
          <t>Valor</t>
        </is>
      </c>
      <c r="C577" t="inlineStr">
        <is>
          <t>Elmo</t>
        </is>
      </c>
      <c r="D577" t="inlineStr">
        <is>
          <t>T8.3</t>
        </is>
      </c>
      <c r="E577" t="n">
        <v>8</v>
      </c>
      <c r="F577" t="n">
        <v>3</v>
      </c>
      <c r="G577" t="n">
        <v>8</v>
      </c>
      <c r="H577" s="22" t="n"/>
      <c r="I577" s="22" t="n"/>
      <c r="J577" s="22" t="n"/>
      <c r="K577" s="22" t="n"/>
      <c r="L577" s="22" t="n"/>
      <c r="M577" s="22" t="n"/>
      <c r="N577" s="22" t="n"/>
      <c r="O577" s="23">
        <f>IF(COUNT(H577:N577)=0,"",MAX(H577:N577))</f>
        <v/>
      </c>
      <c r="P577" s="24">
        <f>IF(O577="","",INDEX($H$3:$N$3,MATCH(O577,H577:N577,0)))</f>
        <v/>
      </c>
      <c r="Q577" s="23">
        <f>IF(Refino!$L$28="","",G577*Refino!$L$28*(1-RetCraft))</f>
        <v/>
      </c>
      <c r="R577" s="25">
        <f>IF(Artefatos!$L$72="","",Artefatos!$L$72*(1+TaxaCompra))</f>
        <v/>
      </c>
      <c r="S577">
        <f>IF(Artefatos!$M$72="","",Artefatos!$M$72)</f>
        <v/>
      </c>
      <c r="T577" s="25">
        <f>G577*Refino!$D$28+Artefatos!$F$72</f>
        <v/>
      </c>
      <c r="U577" s="25">
        <f>T577*0.1125*FeeCraft/100</f>
        <v/>
      </c>
      <c r="V577" s="23">
        <f>IF(OR(Q577="",R577=""),"",Q577+R577+U577)</f>
        <v/>
      </c>
      <c r="W577" s="23">
        <f>IF(O577="","",O577*(1-TaxaVenda))</f>
        <v/>
      </c>
      <c r="X577" s="26">
        <f>IF(OR(V577="",W577=""),"",W577-V577)</f>
        <v/>
      </c>
      <c r="Y577" s="27">
        <f>IF(X577="","",X577/V577)</f>
        <v/>
      </c>
    </row>
    <row r="578">
      <c r="A578" t="inlineStr">
        <is>
          <t>Valor|Elmo|T8.4</t>
        </is>
      </c>
      <c r="B578" t="inlineStr">
        <is>
          <t>Valor</t>
        </is>
      </c>
      <c r="C578" t="inlineStr">
        <is>
          <t>Elmo</t>
        </is>
      </c>
      <c r="D578" t="inlineStr">
        <is>
          <t>T8.4</t>
        </is>
      </c>
      <c r="E578" t="n">
        <v>8</v>
      </c>
      <c r="F578" t="n">
        <v>4</v>
      </c>
      <c r="G578" t="n">
        <v>8</v>
      </c>
      <c r="H578" s="22" t="n"/>
      <c r="I578" s="22" t="n"/>
      <c r="J578" s="22" t="n"/>
      <c r="K578" s="22" t="n"/>
      <c r="L578" s="22" t="n"/>
      <c r="M578" s="22" t="n"/>
      <c r="N578" s="22" t="n"/>
      <c r="O578" s="23">
        <f>IF(COUNT(H578:N578)=0,"",MAX(H578:N578))</f>
        <v/>
      </c>
      <c r="P578" s="24">
        <f>IF(O578="","",INDEX($H$3:$N$3,MATCH(O578,H578:N578,0)))</f>
        <v/>
      </c>
      <c r="Q578" s="23">
        <f>IF(Refino!$L$29="","",G578*Refino!$L$29*(1-RetCraft))</f>
        <v/>
      </c>
      <c r="R578" s="25">
        <f>IF(Artefatos!$L$72="","",Artefatos!$L$72*(1+TaxaCompra))</f>
        <v/>
      </c>
      <c r="S578">
        <f>IF(Artefatos!$M$72="","",Artefatos!$M$72)</f>
        <v/>
      </c>
      <c r="T578" s="25">
        <f>G578*Refino!$D$29+Artefatos!$F$72</f>
        <v/>
      </c>
      <c r="U578" s="25">
        <f>T578*0.1125*FeeCraft/100</f>
        <v/>
      </c>
      <c r="V578" s="23">
        <f>IF(OR(Q578="",R578=""),"",Q578+R578+U578)</f>
        <v/>
      </c>
      <c r="W578" s="23">
        <f>IF(O578="","",O578*(1-TaxaVenda))</f>
        <v/>
      </c>
      <c r="X578" s="26">
        <f>IF(OR(V578="",W578=""),"",W578-V578)</f>
        <v/>
      </c>
      <c r="Y578" s="27">
        <f>IF(X578="","",X578/V578)</f>
        <v/>
      </c>
    </row>
    <row r="579">
      <c r="A579" t="inlineStr">
        <is>
          <t>Valor|Botas|T4.0</t>
        </is>
      </c>
      <c r="B579" t="inlineStr">
        <is>
          <t>Valor</t>
        </is>
      </c>
      <c r="C579" t="inlineStr">
        <is>
          <t>Botas</t>
        </is>
      </c>
      <c r="D579" t="inlineStr">
        <is>
          <t>T4.0</t>
        </is>
      </c>
      <c r="E579" t="n">
        <v>4</v>
      </c>
      <c r="F579" t="n">
        <v>0</v>
      </c>
      <c r="G579" t="n">
        <v>8</v>
      </c>
      <c r="H579" s="22" t="n"/>
      <c r="I579" s="22" t="n"/>
      <c r="J579" s="22" t="n"/>
      <c r="K579" s="22" t="n"/>
      <c r="L579" s="22" t="n"/>
      <c r="M579" s="22" t="n"/>
      <c r="N579" s="22" t="n"/>
      <c r="O579" s="23">
        <f>IF(COUNT(H579:N579)=0,"",MAX(H579:N579))</f>
        <v/>
      </c>
      <c r="P579" s="24">
        <f>IF(O579="","",INDEX($H$3:$N$3,MATCH(O579,H579:N579,0)))</f>
        <v/>
      </c>
      <c r="Q579" s="23">
        <f>IF(Refino!$L$5="","",G579*Refino!$L$5*(1-RetCraft))</f>
        <v/>
      </c>
      <c r="R579" s="25">
        <f>IF(Artefatos!$L$73="","",Artefatos!$L$73*(1+TaxaCompra))</f>
        <v/>
      </c>
      <c r="S579">
        <f>IF(Artefatos!$M$73="","",Artefatos!$M$73)</f>
        <v/>
      </c>
      <c r="T579" s="25">
        <f>G579*Refino!$D$5+Artefatos!$F$73</f>
        <v/>
      </c>
      <c r="U579" s="25">
        <f>T579*0.1125*FeeCraft/100</f>
        <v/>
      </c>
      <c r="V579" s="23">
        <f>IF(OR(Q579="",R579=""),"",Q579+R579+U579)</f>
        <v/>
      </c>
      <c r="W579" s="23">
        <f>IF(O579="","",O579*(1-TaxaVenda))</f>
        <v/>
      </c>
      <c r="X579" s="26">
        <f>IF(OR(V579="",W579=""),"",W579-V579)</f>
        <v/>
      </c>
      <c r="Y579" s="27">
        <f>IF(X579="","",X579/V579)</f>
        <v/>
      </c>
    </row>
    <row r="580">
      <c r="A580" t="inlineStr">
        <is>
          <t>Valor|Botas|T4.1</t>
        </is>
      </c>
      <c r="B580" t="inlineStr">
        <is>
          <t>Valor</t>
        </is>
      </c>
      <c r="C580" t="inlineStr">
        <is>
          <t>Botas</t>
        </is>
      </c>
      <c r="D580" t="inlineStr">
        <is>
          <t>T4.1</t>
        </is>
      </c>
      <c r="E580" t="n">
        <v>4</v>
      </c>
      <c r="F580" t="n">
        <v>1</v>
      </c>
      <c r="G580" t="n">
        <v>8</v>
      </c>
      <c r="H580" s="22" t="n"/>
      <c r="I580" s="22" t="n"/>
      <c r="J580" s="22" t="n"/>
      <c r="K580" s="22" t="n"/>
      <c r="L580" s="22" t="n"/>
      <c r="M580" s="22" t="n"/>
      <c r="N580" s="22" t="n"/>
      <c r="O580" s="23">
        <f>IF(COUNT(H580:N580)=0,"",MAX(H580:N580))</f>
        <v/>
      </c>
      <c r="P580" s="24">
        <f>IF(O580="","",INDEX($H$3:$N$3,MATCH(O580,H580:N580,0)))</f>
        <v/>
      </c>
      <c r="Q580" s="23">
        <f>IF(Refino!$L$6="","",G580*Refino!$L$6*(1-RetCraft))</f>
        <v/>
      </c>
      <c r="R580" s="25">
        <f>IF(Artefatos!$L$73="","",Artefatos!$L$73*(1+TaxaCompra))</f>
        <v/>
      </c>
      <c r="S580">
        <f>IF(Artefatos!$M$73="","",Artefatos!$M$73)</f>
        <v/>
      </c>
      <c r="T580" s="25">
        <f>G580*Refino!$D$6+Artefatos!$F$73</f>
        <v/>
      </c>
      <c r="U580" s="25">
        <f>T580*0.1125*FeeCraft/100</f>
        <v/>
      </c>
      <c r="V580" s="23">
        <f>IF(OR(Q580="",R580=""),"",Q580+R580+U580)</f>
        <v/>
      </c>
      <c r="W580" s="23">
        <f>IF(O580="","",O580*(1-TaxaVenda))</f>
        <v/>
      </c>
      <c r="X580" s="26">
        <f>IF(OR(V580="",W580=""),"",W580-V580)</f>
        <v/>
      </c>
      <c r="Y580" s="27">
        <f>IF(X580="","",X580/V580)</f>
        <v/>
      </c>
    </row>
    <row r="581">
      <c r="A581" t="inlineStr">
        <is>
          <t>Valor|Botas|T4.2</t>
        </is>
      </c>
      <c r="B581" t="inlineStr">
        <is>
          <t>Valor</t>
        </is>
      </c>
      <c r="C581" t="inlineStr">
        <is>
          <t>Botas</t>
        </is>
      </c>
      <c r="D581" t="inlineStr">
        <is>
          <t>T4.2</t>
        </is>
      </c>
      <c r="E581" t="n">
        <v>4</v>
      </c>
      <c r="F581" t="n">
        <v>2</v>
      </c>
      <c r="G581" t="n">
        <v>8</v>
      </c>
      <c r="H581" s="22" t="n"/>
      <c r="I581" s="22" t="n"/>
      <c r="J581" s="22" t="n"/>
      <c r="K581" s="22" t="n"/>
      <c r="L581" s="22" t="n"/>
      <c r="M581" s="22" t="n"/>
      <c r="N581" s="22" t="n"/>
      <c r="O581" s="23">
        <f>IF(COUNT(H581:N581)=0,"",MAX(H581:N581))</f>
        <v/>
      </c>
      <c r="P581" s="24">
        <f>IF(O581="","",INDEX($H$3:$N$3,MATCH(O581,H581:N581,0)))</f>
        <v/>
      </c>
      <c r="Q581" s="23">
        <f>IF(Refino!$L$7="","",G581*Refino!$L$7*(1-RetCraft))</f>
        <v/>
      </c>
      <c r="R581" s="25">
        <f>IF(Artefatos!$L$73="","",Artefatos!$L$73*(1+TaxaCompra))</f>
        <v/>
      </c>
      <c r="S581">
        <f>IF(Artefatos!$M$73="","",Artefatos!$M$73)</f>
        <v/>
      </c>
      <c r="T581" s="25">
        <f>G581*Refino!$D$7+Artefatos!$F$73</f>
        <v/>
      </c>
      <c r="U581" s="25">
        <f>T581*0.1125*FeeCraft/100</f>
        <v/>
      </c>
      <c r="V581" s="23">
        <f>IF(OR(Q581="",R581=""),"",Q581+R581+U581)</f>
        <v/>
      </c>
      <c r="W581" s="23">
        <f>IF(O581="","",O581*(1-TaxaVenda))</f>
        <v/>
      </c>
      <c r="X581" s="26">
        <f>IF(OR(V581="",W581=""),"",W581-V581)</f>
        <v/>
      </c>
      <c r="Y581" s="27">
        <f>IF(X581="","",X581/V581)</f>
        <v/>
      </c>
    </row>
    <row r="582">
      <c r="A582" t="inlineStr">
        <is>
          <t>Valor|Botas|T4.3</t>
        </is>
      </c>
      <c r="B582" t="inlineStr">
        <is>
          <t>Valor</t>
        </is>
      </c>
      <c r="C582" t="inlineStr">
        <is>
          <t>Botas</t>
        </is>
      </c>
      <c r="D582" t="inlineStr">
        <is>
          <t>T4.3</t>
        </is>
      </c>
      <c r="E582" t="n">
        <v>4</v>
      </c>
      <c r="F582" t="n">
        <v>3</v>
      </c>
      <c r="G582" t="n">
        <v>8</v>
      </c>
      <c r="H582" s="22" t="n"/>
      <c r="I582" s="22" t="n"/>
      <c r="J582" s="22" t="n"/>
      <c r="K582" s="22" t="n"/>
      <c r="L582" s="22" t="n"/>
      <c r="M582" s="22" t="n"/>
      <c r="N582" s="22" t="n"/>
      <c r="O582" s="23">
        <f>IF(COUNT(H582:N582)=0,"",MAX(H582:N582))</f>
        <v/>
      </c>
      <c r="P582" s="24">
        <f>IF(O582="","",INDEX($H$3:$N$3,MATCH(O582,H582:N582,0)))</f>
        <v/>
      </c>
      <c r="Q582" s="23">
        <f>IF(Refino!$L$8="","",G582*Refino!$L$8*(1-RetCraft))</f>
        <v/>
      </c>
      <c r="R582" s="25">
        <f>IF(Artefatos!$L$73="","",Artefatos!$L$73*(1+TaxaCompra))</f>
        <v/>
      </c>
      <c r="S582">
        <f>IF(Artefatos!$M$73="","",Artefatos!$M$73)</f>
        <v/>
      </c>
      <c r="T582" s="25">
        <f>G582*Refino!$D$8+Artefatos!$F$73</f>
        <v/>
      </c>
      <c r="U582" s="25">
        <f>T582*0.1125*FeeCraft/100</f>
        <v/>
      </c>
      <c r="V582" s="23">
        <f>IF(OR(Q582="",R582=""),"",Q582+R582+U582)</f>
        <v/>
      </c>
      <c r="W582" s="23">
        <f>IF(O582="","",O582*(1-TaxaVenda))</f>
        <v/>
      </c>
      <c r="X582" s="26">
        <f>IF(OR(V582="",W582=""),"",W582-V582)</f>
        <v/>
      </c>
      <c r="Y582" s="27">
        <f>IF(X582="","",X582/V582)</f>
        <v/>
      </c>
    </row>
    <row r="583">
      <c r="A583" t="inlineStr">
        <is>
          <t>Valor|Botas|T4.4</t>
        </is>
      </c>
      <c r="B583" t="inlineStr">
        <is>
          <t>Valor</t>
        </is>
      </c>
      <c r="C583" t="inlineStr">
        <is>
          <t>Botas</t>
        </is>
      </c>
      <c r="D583" t="inlineStr">
        <is>
          <t>T4.4</t>
        </is>
      </c>
      <c r="E583" t="n">
        <v>4</v>
      </c>
      <c r="F583" t="n">
        <v>4</v>
      </c>
      <c r="G583" t="n">
        <v>8</v>
      </c>
      <c r="H583" s="22" t="n"/>
      <c r="I583" s="22" t="n"/>
      <c r="J583" s="22" t="n"/>
      <c r="K583" s="22" t="n"/>
      <c r="L583" s="22" t="n"/>
      <c r="M583" s="22" t="n"/>
      <c r="N583" s="22" t="n"/>
      <c r="O583" s="23">
        <f>IF(COUNT(H583:N583)=0,"",MAX(H583:N583))</f>
        <v/>
      </c>
      <c r="P583" s="24">
        <f>IF(O583="","",INDEX($H$3:$N$3,MATCH(O583,H583:N583,0)))</f>
        <v/>
      </c>
      <c r="Q583" s="23">
        <f>IF(Refino!$L$9="","",G583*Refino!$L$9*(1-RetCraft))</f>
        <v/>
      </c>
      <c r="R583" s="25">
        <f>IF(Artefatos!$L$73="","",Artefatos!$L$73*(1+TaxaCompra))</f>
        <v/>
      </c>
      <c r="S583">
        <f>IF(Artefatos!$M$73="","",Artefatos!$M$73)</f>
        <v/>
      </c>
      <c r="T583" s="25">
        <f>G583*Refino!$D$9+Artefatos!$F$73</f>
        <v/>
      </c>
      <c r="U583" s="25">
        <f>T583*0.1125*FeeCraft/100</f>
        <v/>
      </c>
      <c r="V583" s="23">
        <f>IF(OR(Q583="",R583=""),"",Q583+R583+U583)</f>
        <v/>
      </c>
      <c r="W583" s="23">
        <f>IF(O583="","",O583*(1-TaxaVenda))</f>
        <v/>
      </c>
      <c r="X583" s="26">
        <f>IF(OR(V583="",W583=""),"",W583-V583)</f>
        <v/>
      </c>
      <c r="Y583" s="27">
        <f>IF(X583="","",X583/V583)</f>
        <v/>
      </c>
    </row>
    <row r="584">
      <c r="A584" t="inlineStr">
        <is>
          <t>Valor|Botas|T5.0</t>
        </is>
      </c>
      <c r="B584" t="inlineStr">
        <is>
          <t>Valor</t>
        </is>
      </c>
      <c r="C584" t="inlineStr">
        <is>
          <t>Botas</t>
        </is>
      </c>
      <c r="D584" t="inlineStr">
        <is>
          <t>T5.0</t>
        </is>
      </c>
      <c r="E584" t="n">
        <v>5</v>
      </c>
      <c r="F584" t="n">
        <v>0</v>
      </c>
      <c r="G584" t="n">
        <v>8</v>
      </c>
      <c r="H584" s="22" t="n"/>
      <c r="I584" s="22" t="n"/>
      <c r="J584" s="22" t="n"/>
      <c r="K584" s="22" t="n"/>
      <c r="L584" s="22" t="n"/>
      <c r="M584" s="22" t="n"/>
      <c r="N584" s="22" t="n"/>
      <c r="O584" s="23">
        <f>IF(COUNT(H584:N584)=0,"",MAX(H584:N584))</f>
        <v/>
      </c>
      <c r="P584" s="24">
        <f>IF(O584="","",INDEX($H$3:$N$3,MATCH(O584,H584:N584,0)))</f>
        <v/>
      </c>
      <c r="Q584" s="23">
        <f>IF(Refino!$L$10="","",G584*Refino!$L$10*(1-RetCraft))</f>
        <v/>
      </c>
      <c r="R584" s="25">
        <f>IF(Artefatos!$L$74="","",Artefatos!$L$74*(1+TaxaCompra))</f>
        <v/>
      </c>
      <c r="S584">
        <f>IF(Artefatos!$M$74="","",Artefatos!$M$74)</f>
        <v/>
      </c>
      <c r="T584" s="25">
        <f>G584*Refino!$D$10+Artefatos!$F$74</f>
        <v/>
      </c>
      <c r="U584" s="25">
        <f>T584*0.1125*FeeCraft/100</f>
        <v/>
      </c>
      <c r="V584" s="23">
        <f>IF(OR(Q584="",R584=""),"",Q584+R584+U584)</f>
        <v/>
      </c>
      <c r="W584" s="23">
        <f>IF(O584="","",O584*(1-TaxaVenda))</f>
        <v/>
      </c>
      <c r="X584" s="26">
        <f>IF(OR(V584="",W584=""),"",W584-V584)</f>
        <v/>
      </c>
      <c r="Y584" s="27">
        <f>IF(X584="","",X584/V584)</f>
        <v/>
      </c>
    </row>
    <row r="585">
      <c r="A585" t="inlineStr">
        <is>
          <t>Valor|Botas|T5.1</t>
        </is>
      </c>
      <c r="B585" t="inlineStr">
        <is>
          <t>Valor</t>
        </is>
      </c>
      <c r="C585" t="inlineStr">
        <is>
          <t>Botas</t>
        </is>
      </c>
      <c r="D585" t="inlineStr">
        <is>
          <t>T5.1</t>
        </is>
      </c>
      <c r="E585" t="n">
        <v>5</v>
      </c>
      <c r="F585" t="n">
        <v>1</v>
      </c>
      <c r="G585" t="n">
        <v>8</v>
      </c>
      <c r="H585" s="22" t="n"/>
      <c r="I585" s="22" t="n"/>
      <c r="J585" s="22" t="n"/>
      <c r="K585" s="22" t="n"/>
      <c r="L585" s="22" t="n"/>
      <c r="M585" s="22" t="n"/>
      <c r="N585" s="22" t="n"/>
      <c r="O585" s="23">
        <f>IF(COUNT(H585:N585)=0,"",MAX(H585:N585))</f>
        <v/>
      </c>
      <c r="P585" s="24">
        <f>IF(O585="","",INDEX($H$3:$N$3,MATCH(O585,H585:N585,0)))</f>
        <v/>
      </c>
      <c r="Q585" s="23">
        <f>IF(Refino!$L$11="","",G585*Refino!$L$11*(1-RetCraft))</f>
        <v/>
      </c>
      <c r="R585" s="25">
        <f>IF(Artefatos!$L$74="","",Artefatos!$L$74*(1+TaxaCompra))</f>
        <v/>
      </c>
      <c r="S585">
        <f>IF(Artefatos!$M$74="","",Artefatos!$M$74)</f>
        <v/>
      </c>
      <c r="T585" s="25">
        <f>G585*Refino!$D$11+Artefatos!$F$74</f>
        <v/>
      </c>
      <c r="U585" s="25">
        <f>T585*0.1125*FeeCraft/100</f>
        <v/>
      </c>
      <c r="V585" s="23">
        <f>IF(OR(Q585="",R585=""),"",Q585+R585+U585)</f>
        <v/>
      </c>
      <c r="W585" s="23">
        <f>IF(O585="","",O585*(1-TaxaVenda))</f>
        <v/>
      </c>
      <c r="X585" s="26">
        <f>IF(OR(V585="",W585=""),"",W585-V585)</f>
        <v/>
      </c>
      <c r="Y585" s="27">
        <f>IF(X585="","",X585/V585)</f>
        <v/>
      </c>
    </row>
    <row r="586">
      <c r="A586" t="inlineStr">
        <is>
          <t>Valor|Botas|T5.2</t>
        </is>
      </c>
      <c r="B586" t="inlineStr">
        <is>
          <t>Valor</t>
        </is>
      </c>
      <c r="C586" t="inlineStr">
        <is>
          <t>Botas</t>
        </is>
      </c>
      <c r="D586" t="inlineStr">
        <is>
          <t>T5.2</t>
        </is>
      </c>
      <c r="E586" t="n">
        <v>5</v>
      </c>
      <c r="F586" t="n">
        <v>2</v>
      </c>
      <c r="G586" t="n">
        <v>8</v>
      </c>
      <c r="H586" s="22" t="n"/>
      <c r="I586" s="22" t="n"/>
      <c r="J586" s="22" t="n"/>
      <c r="K586" s="22" t="n"/>
      <c r="L586" s="22" t="n"/>
      <c r="M586" s="22" t="n"/>
      <c r="N586" s="22" t="n"/>
      <c r="O586" s="23">
        <f>IF(COUNT(H586:N586)=0,"",MAX(H586:N586))</f>
        <v/>
      </c>
      <c r="P586" s="24">
        <f>IF(O586="","",INDEX($H$3:$N$3,MATCH(O586,H586:N586,0)))</f>
        <v/>
      </c>
      <c r="Q586" s="23">
        <f>IF(Refino!$L$12="","",G586*Refino!$L$12*(1-RetCraft))</f>
        <v/>
      </c>
      <c r="R586" s="25">
        <f>IF(Artefatos!$L$74="","",Artefatos!$L$74*(1+TaxaCompra))</f>
        <v/>
      </c>
      <c r="S586">
        <f>IF(Artefatos!$M$74="","",Artefatos!$M$74)</f>
        <v/>
      </c>
      <c r="T586" s="25">
        <f>G586*Refino!$D$12+Artefatos!$F$74</f>
        <v/>
      </c>
      <c r="U586" s="25">
        <f>T586*0.1125*FeeCraft/100</f>
        <v/>
      </c>
      <c r="V586" s="23">
        <f>IF(OR(Q586="",R586=""),"",Q586+R586+U586)</f>
        <v/>
      </c>
      <c r="W586" s="23">
        <f>IF(O586="","",O586*(1-TaxaVenda))</f>
        <v/>
      </c>
      <c r="X586" s="26">
        <f>IF(OR(V586="",W586=""),"",W586-V586)</f>
        <v/>
      </c>
      <c r="Y586" s="27">
        <f>IF(X586="","",X586/V586)</f>
        <v/>
      </c>
    </row>
    <row r="587">
      <c r="A587" t="inlineStr">
        <is>
          <t>Valor|Botas|T5.3</t>
        </is>
      </c>
      <c r="B587" t="inlineStr">
        <is>
          <t>Valor</t>
        </is>
      </c>
      <c r="C587" t="inlineStr">
        <is>
          <t>Botas</t>
        </is>
      </c>
      <c r="D587" t="inlineStr">
        <is>
          <t>T5.3</t>
        </is>
      </c>
      <c r="E587" t="n">
        <v>5</v>
      </c>
      <c r="F587" t="n">
        <v>3</v>
      </c>
      <c r="G587" t="n">
        <v>8</v>
      </c>
      <c r="H587" s="22" t="n"/>
      <c r="I587" s="22" t="n"/>
      <c r="J587" s="22" t="n"/>
      <c r="K587" s="22" t="n"/>
      <c r="L587" s="22" t="n"/>
      <c r="M587" s="22" t="n"/>
      <c r="N587" s="22" t="n"/>
      <c r="O587" s="23">
        <f>IF(COUNT(H587:N587)=0,"",MAX(H587:N587))</f>
        <v/>
      </c>
      <c r="P587" s="24">
        <f>IF(O587="","",INDEX($H$3:$N$3,MATCH(O587,H587:N587,0)))</f>
        <v/>
      </c>
      <c r="Q587" s="23">
        <f>IF(Refino!$L$13="","",G587*Refino!$L$13*(1-RetCraft))</f>
        <v/>
      </c>
      <c r="R587" s="25">
        <f>IF(Artefatos!$L$74="","",Artefatos!$L$74*(1+TaxaCompra))</f>
        <v/>
      </c>
      <c r="S587">
        <f>IF(Artefatos!$M$74="","",Artefatos!$M$74)</f>
        <v/>
      </c>
      <c r="T587" s="25">
        <f>G587*Refino!$D$13+Artefatos!$F$74</f>
        <v/>
      </c>
      <c r="U587" s="25">
        <f>T587*0.1125*FeeCraft/100</f>
        <v/>
      </c>
      <c r="V587" s="23">
        <f>IF(OR(Q587="",R587=""),"",Q587+R587+U587)</f>
        <v/>
      </c>
      <c r="W587" s="23">
        <f>IF(O587="","",O587*(1-TaxaVenda))</f>
        <v/>
      </c>
      <c r="X587" s="26">
        <f>IF(OR(V587="",W587=""),"",W587-V587)</f>
        <v/>
      </c>
      <c r="Y587" s="27">
        <f>IF(X587="","",X587/V587)</f>
        <v/>
      </c>
    </row>
    <row r="588">
      <c r="A588" t="inlineStr">
        <is>
          <t>Valor|Botas|T5.4</t>
        </is>
      </c>
      <c r="B588" t="inlineStr">
        <is>
          <t>Valor</t>
        </is>
      </c>
      <c r="C588" t="inlineStr">
        <is>
          <t>Botas</t>
        </is>
      </c>
      <c r="D588" t="inlineStr">
        <is>
          <t>T5.4</t>
        </is>
      </c>
      <c r="E588" t="n">
        <v>5</v>
      </c>
      <c r="F588" t="n">
        <v>4</v>
      </c>
      <c r="G588" t="n">
        <v>8</v>
      </c>
      <c r="H588" s="22" t="n"/>
      <c r="I588" s="22" t="n"/>
      <c r="J588" s="22" t="n"/>
      <c r="K588" s="22" t="n"/>
      <c r="L588" s="22" t="n"/>
      <c r="M588" s="22" t="n"/>
      <c r="N588" s="22" t="n"/>
      <c r="O588" s="23">
        <f>IF(COUNT(H588:N588)=0,"",MAX(H588:N588))</f>
        <v/>
      </c>
      <c r="P588" s="24">
        <f>IF(O588="","",INDEX($H$3:$N$3,MATCH(O588,H588:N588,0)))</f>
        <v/>
      </c>
      <c r="Q588" s="23">
        <f>IF(Refino!$L$14="","",G588*Refino!$L$14*(1-RetCraft))</f>
        <v/>
      </c>
      <c r="R588" s="25">
        <f>IF(Artefatos!$L$74="","",Artefatos!$L$74*(1+TaxaCompra))</f>
        <v/>
      </c>
      <c r="S588">
        <f>IF(Artefatos!$M$74="","",Artefatos!$M$74)</f>
        <v/>
      </c>
      <c r="T588" s="25">
        <f>G588*Refino!$D$14+Artefatos!$F$74</f>
        <v/>
      </c>
      <c r="U588" s="25">
        <f>T588*0.1125*FeeCraft/100</f>
        <v/>
      </c>
      <c r="V588" s="23">
        <f>IF(OR(Q588="",R588=""),"",Q588+R588+U588)</f>
        <v/>
      </c>
      <c r="W588" s="23">
        <f>IF(O588="","",O588*(1-TaxaVenda))</f>
        <v/>
      </c>
      <c r="X588" s="26">
        <f>IF(OR(V588="",W588=""),"",W588-V588)</f>
        <v/>
      </c>
      <c r="Y588" s="27">
        <f>IF(X588="","",X588/V588)</f>
        <v/>
      </c>
    </row>
    <row r="589">
      <c r="A589" t="inlineStr">
        <is>
          <t>Valor|Botas|T6.0</t>
        </is>
      </c>
      <c r="B589" t="inlineStr">
        <is>
          <t>Valor</t>
        </is>
      </c>
      <c r="C589" t="inlineStr">
        <is>
          <t>Botas</t>
        </is>
      </c>
      <c r="D589" t="inlineStr">
        <is>
          <t>T6.0</t>
        </is>
      </c>
      <c r="E589" t="n">
        <v>6</v>
      </c>
      <c r="F589" t="n">
        <v>0</v>
      </c>
      <c r="G589" t="n">
        <v>8</v>
      </c>
      <c r="H589" s="22" t="n"/>
      <c r="I589" s="22" t="n"/>
      <c r="J589" s="22" t="n"/>
      <c r="K589" s="22" t="n"/>
      <c r="L589" s="22" t="n"/>
      <c r="M589" s="22" t="n"/>
      <c r="N589" s="22" t="n"/>
      <c r="O589" s="23">
        <f>IF(COUNT(H589:N589)=0,"",MAX(H589:N589))</f>
        <v/>
      </c>
      <c r="P589" s="24">
        <f>IF(O589="","",INDEX($H$3:$N$3,MATCH(O589,H589:N589,0)))</f>
        <v/>
      </c>
      <c r="Q589" s="23">
        <f>IF(Refino!$L$15="","",G589*Refino!$L$15*(1-RetCraft))</f>
        <v/>
      </c>
      <c r="R589" s="25">
        <f>IF(Artefatos!$L$75="","",Artefatos!$L$75*(1+TaxaCompra))</f>
        <v/>
      </c>
      <c r="S589">
        <f>IF(Artefatos!$M$75="","",Artefatos!$M$75)</f>
        <v/>
      </c>
      <c r="T589" s="25">
        <f>G589*Refino!$D$15+Artefatos!$F$75</f>
        <v/>
      </c>
      <c r="U589" s="25">
        <f>T589*0.1125*FeeCraft/100</f>
        <v/>
      </c>
      <c r="V589" s="23">
        <f>IF(OR(Q589="",R589=""),"",Q589+R589+U589)</f>
        <v/>
      </c>
      <c r="W589" s="23">
        <f>IF(O589="","",O589*(1-TaxaVenda))</f>
        <v/>
      </c>
      <c r="X589" s="26">
        <f>IF(OR(V589="",W589=""),"",W589-V589)</f>
        <v/>
      </c>
      <c r="Y589" s="27">
        <f>IF(X589="","",X589/V589)</f>
        <v/>
      </c>
    </row>
    <row r="590">
      <c r="A590" t="inlineStr">
        <is>
          <t>Valor|Botas|T6.1</t>
        </is>
      </c>
      <c r="B590" t="inlineStr">
        <is>
          <t>Valor</t>
        </is>
      </c>
      <c r="C590" t="inlineStr">
        <is>
          <t>Botas</t>
        </is>
      </c>
      <c r="D590" t="inlineStr">
        <is>
          <t>T6.1</t>
        </is>
      </c>
      <c r="E590" t="n">
        <v>6</v>
      </c>
      <c r="F590" t="n">
        <v>1</v>
      </c>
      <c r="G590" t="n">
        <v>8</v>
      </c>
      <c r="H590" s="22" t="n"/>
      <c r="I590" s="22" t="n"/>
      <c r="J590" s="22" t="n"/>
      <c r="K590" s="22" t="n"/>
      <c r="L590" s="22" t="n"/>
      <c r="M590" s="22" t="n"/>
      <c r="N590" s="22" t="n"/>
      <c r="O590" s="23">
        <f>IF(COUNT(H590:N590)=0,"",MAX(H590:N590))</f>
        <v/>
      </c>
      <c r="P590" s="24">
        <f>IF(O590="","",INDEX($H$3:$N$3,MATCH(O590,H590:N590,0)))</f>
        <v/>
      </c>
      <c r="Q590" s="23">
        <f>IF(Refino!$L$16="","",G590*Refino!$L$16*(1-RetCraft))</f>
        <v/>
      </c>
      <c r="R590" s="25">
        <f>IF(Artefatos!$L$75="","",Artefatos!$L$75*(1+TaxaCompra))</f>
        <v/>
      </c>
      <c r="S590">
        <f>IF(Artefatos!$M$75="","",Artefatos!$M$75)</f>
        <v/>
      </c>
      <c r="T590" s="25">
        <f>G590*Refino!$D$16+Artefatos!$F$75</f>
        <v/>
      </c>
      <c r="U590" s="25">
        <f>T590*0.1125*FeeCraft/100</f>
        <v/>
      </c>
      <c r="V590" s="23">
        <f>IF(OR(Q590="",R590=""),"",Q590+R590+U590)</f>
        <v/>
      </c>
      <c r="W590" s="23">
        <f>IF(O590="","",O590*(1-TaxaVenda))</f>
        <v/>
      </c>
      <c r="X590" s="26">
        <f>IF(OR(V590="",W590=""),"",W590-V590)</f>
        <v/>
      </c>
      <c r="Y590" s="27">
        <f>IF(X590="","",X590/V590)</f>
        <v/>
      </c>
    </row>
    <row r="591">
      <c r="A591" t="inlineStr">
        <is>
          <t>Valor|Botas|T6.2</t>
        </is>
      </c>
      <c r="B591" t="inlineStr">
        <is>
          <t>Valor</t>
        </is>
      </c>
      <c r="C591" t="inlineStr">
        <is>
          <t>Botas</t>
        </is>
      </c>
      <c r="D591" t="inlineStr">
        <is>
          <t>T6.2</t>
        </is>
      </c>
      <c r="E591" t="n">
        <v>6</v>
      </c>
      <c r="F591" t="n">
        <v>2</v>
      </c>
      <c r="G591" t="n">
        <v>8</v>
      </c>
      <c r="H591" s="22" t="n"/>
      <c r="I591" s="22" t="n"/>
      <c r="J591" s="22" t="n"/>
      <c r="K591" s="22" t="n"/>
      <c r="L591" s="22" t="n"/>
      <c r="M591" s="22" t="n"/>
      <c r="N591" s="22" t="n"/>
      <c r="O591" s="23">
        <f>IF(COUNT(H591:N591)=0,"",MAX(H591:N591))</f>
        <v/>
      </c>
      <c r="P591" s="24">
        <f>IF(O591="","",INDEX($H$3:$N$3,MATCH(O591,H591:N591,0)))</f>
        <v/>
      </c>
      <c r="Q591" s="23">
        <f>IF(Refino!$L$17="","",G591*Refino!$L$17*(1-RetCraft))</f>
        <v/>
      </c>
      <c r="R591" s="25">
        <f>IF(Artefatos!$L$75="","",Artefatos!$L$75*(1+TaxaCompra))</f>
        <v/>
      </c>
      <c r="S591">
        <f>IF(Artefatos!$M$75="","",Artefatos!$M$75)</f>
        <v/>
      </c>
      <c r="T591" s="25">
        <f>G591*Refino!$D$17+Artefatos!$F$75</f>
        <v/>
      </c>
      <c r="U591" s="25">
        <f>T591*0.1125*FeeCraft/100</f>
        <v/>
      </c>
      <c r="V591" s="23">
        <f>IF(OR(Q591="",R591=""),"",Q591+R591+U591)</f>
        <v/>
      </c>
      <c r="W591" s="23">
        <f>IF(O591="","",O591*(1-TaxaVenda))</f>
        <v/>
      </c>
      <c r="X591" s="26">
        <f>IF(OR(V591="",W591=""),"",W591-V591)</f>
        <v/>
      </c>
      <c r="Y591" s="27">
        <f>IF(X591="","",X591/V591)</f>
        <v/>
      </c>
    </row>
    <row r="592">
      <c r="A592" t="inlineStr">
        <is>
          <t>Valor|Botas|T6.3</t>
        </is>
      </c>
      <c r="B592" t="inlineStr">
        <is>
          <t>Valor</t>
        </is>
      </c>
      <c r="C592" t="inlineStr">
        <is>
          <t>Botas</t>
        </is>
      </c>
      <c r="D592" t="inlineStr">
        <is>
          <t>T6.3</t>
        </is>
      </c>
      <c r="E592" t="n">
        <v>6</v>
      </c>
      <c r="F592" t="n">
        <v>3</v>
      </c>
      <c r="G592" t="n">
        <v>8</v>
      </c>
      <c r="H592" s="22" t="n"/>
      <c r="I592" s="22" t="n"/>
      <c r="J592" s="22" t="n"/>
      <c r="K592" s="22" t="n"/>
      <c r="L592" s="22" t="n"/>
      <c r="M592" s="22" t="n"/>
      <c r="N592" s="22" t="n"/>
      <c r="O592" s="23">
        <f>IF(COUNT(H592:N592)=0,"",MAX(H592:N592))</f>
        <v/>
      </c>
      <c r="P592" s="24">
        <f>IF(O592="","",INDEX($H$3:$N$3,MATCH(O592,H592:N592,0)))</f>
        <v/>
      </c>
      <c r="Q592" s="23">
        <f>IF(Refino!$L$18="","",G592*Refino!$L$18*(1-RetCraft))</f>
        <v/>
      </c>
      <c r="R592" s="25">
        <f>IF(Artefatos!$L$75="","",Artefatos!$L$75*(1+TaxaCompra))</f>
        <v/>
      </c>
      <c r="S592">
        <f>IF(Artefatos!$M$75="","",Artefatos!$M$75)</f>
        <v/>
      </c>
      <c r="T592" s="25">
        <f>G592*Refino!$D$18+Artefatos!$F$75</f>
        <v/>
      </c>
      <c r="U592" s="25">
        <f>T592*0.1125*FeeCraft/100</f>
        <v/>
      </c>
      <c r="V592" s="23">
        <f>IF(OR(Q592="",R592=""),"",Q592+R592+U592)</f>
        <v/>
      </c>
      <c r="W592" s="23">
        <f>IF(O592="","",O592*(1-TaxaVenda))</f>
        <v/>
      </c>
      <c r="X592" s="26">
        <f>IF(OR(V592="",W592=""),"",W592-V592)</f>
        <v/>
      </c>
      <c r="Y592" s="27">
        <f>IF(X592="","",X592/V592)</f>
        <v/>
      </c>
    </row>
    <row r="593">
      <c r="A593" t="inlineStr">
        <is>
          <t>Valor|Botas|T6.4</t>
        </is>
      </c>
      <c r="B593" t="inlineStr">
        <is>
          <t>Valor</t>
        </is>
      </c>
      <c r="C593" t="inlineStr">
        <is>
          <t>Botas</t>
        </is>
      </c>
      <c r="D593" t="inlineStr">
        <is>
          <t>T6.4</t>
        </is>
      </c>
      <c r="E593" t="n">
        <v>6</v>
      </c>
      <c r="F593" t="n">
        <v>4</v>
      </c>
      <c r="G593" t="n">
        <v>8</v>
      </c>
      <c r="H593" s="22" t="n"/>
      <c r="I593" s="22" t="n"/>
      <c r="J593" s="22" t="n"/>
      <c r="K593" s="22" t="n"/>
      <c r="L593" s="22" t="n"/>
      <c r="M593" s="22" t="n"/>
      <c r="N593" s="22" t="n"/>
      <c r="O593" s="23">
        <f>IF(COUNT(H593:N593)=0,"",MAX(H593:N593))</f>
        <v/>
      </c>
      <c r="P593" s="24">
        <f>IF(O593="","",INDEX($H$3:$N$3,MATCH(O593,H593:N593,0)))</f>
        <v/>
      </c>
      <c r="Q593" s="23">
        <f>IF(Refino!$L$19="","",G593*Refino!$L$19*(1-RetCraft))</f>
        <v/>
      </c>
      <c r="R593" s="25">
        <f>IF(Artefatos!$L$75="","",Artefatos!$L$75*(1+TaxaCompra))</f>
        <v/>
      </c>
      <c r="S593">
        <f>IF(Artefatos!$M$75="","",Artefatos!$M$75)</f>
        <v/>
      </c>
      <c r="T593" s="25">
        <f>G593*Refino!$D$19+Artefatos!$F$75</f>
        <v/>
      </c>
      <c r="U593" s="25">
        <f>T593*0.1125*FeeCraft/100</f>
        <v/>
      </c>
      <c r="V593" s="23">
        <f>IF(OR(Q593="",R593=""),"",Q593+R593+U593)</f>
        <v/>
      </c>
      <c r="W593" s="23">
        <f>IF(O593="","",O593*(1-TaxaVenda))</f>
        <v/>
      </c>
      <c r="X593" s="26">
        <f>IF(OR(V593="",W593=""),"",W593-V593)</f>
        <v/>
      </c>
      <c r="Y593" s="27">
        <f>IF(X593="","",X593/V593)</f>
        <v/>
      </c>
    </row>
    <row r="594">
      <c r="A594" t="inlineStr">
        <is>
          <t>Valor|Botas|T7.0</t>
        </is>
      </c>
      <c r="B594" t="inlineStr">
        <is>
          <t>Valor</t>
        </is>
      </c>
      <c r="C594" t="inlineStr">
        <is>
          <t>Botas</t>
        </is>
      </c>
      <c r="D594" t="inlineStr">
        <is>
          <t>T7.0</t>
        </is>
      </c>
      <c r="E594" t="n">
        <v>7</v>
      </c>
      <c r="F594" t="n">
        <v>0</v>
      </c>
      <c r="G594" t="n">
        <v>8</v>
      </c>
      <c r="H594" s="22" t="n"/>
      <c r="I594" s="22" t="n"/>
      <c r="J594" s="22" t="n"/>
      <c r="K594" s="22" t="n"/>
      <c r="L594" s="22" t="n"/>
      <c r="M594" s="22" t="n"/>
      <c r="N594" s="22" t="n"/>
      <c r="O594" s="23">
        <f>IF(COUNT(H594:N594)=0,"",MAX(H594:N594))</f>
        <v/>
      </c>
      <c r="P594" s="24">
        <f>IF(O594="","",INDEX($H$3:$N$3,MATCH(O594,H594:N594,0)))</f>
        <v/>
      </c>
      <c r="Q594" s="23">
        <f>IF(Refino!$L$20="","",G594*Refino!$L$20*(1-RetCraft))</f>
        <v/>
      </c>
      <c r="R594" s="25">
        <f>IF(Artefatos!$L$76="","",Artefatos!$L$76*(1+TaxaCompra))</f>
        <v/>
      </c>
      <c r="S594">
        <f>IF(Artefatos!$M$76="","",Artefatos!$M$76)</f>
        <v/>
      </c>
      <c r="T594" s="25">
        <f>G594*Refino!$D$20+Artefatos!$F$76</f>
        <v/>
      </c>
      <c r="U594" s="25">
        <f>T594*0.1125*FeeCraft/100</f>
        <v/>
      </c>
      <c r="V594" s="23">
        <f>IF(OR(Q594="",R594=""),"",Q594+R594+U594)</f>
        <v/>
      </c>
      <c r="W594" s="23">
        <f>IF(O594="","",O594*(1-TaxaVenda))</f>
        <v/>
      </c>
      <c r="X594" s="26">
        <f>IF(OR(V594="",W594=""),"",W594-V594)</f>
        <v/>
      </c>
      <c r="Y594" s="27">
        <f>IF(X594="","",X594/V594)</f>
        <v/>
      </c>
    </row>
    <row r="595">
      <c r="A595" t="inlineStr">
        <is>
          <t>Valor|Botas|T7.1</t>
        </is>
      </c>
      <c r="B595" t="inlineStr">
        <is>
          <t>Valor</t>
        </is>
      </c>
      <c r="C595" t="inlineStr">
        <is>
          <t>Botas</t>
        </is>
      </c>
      <c r="D595" t="inlineStr">
        <is>
          <t>T7.1</t>
        </is>
      </c>
      <c r="E595" t="n">
        <v>7</v>
      </c>
      <c r="F595" t="n">
        <v>1</v>
      </c>
      <c r="G595" t="n">
        <v>8</v>
      </c>
      <c r="H595" s="22" t="n"/>
      <c r="I595" s="22" t="n"/>
      <c r="J595" s="22" t="n"/>
      <c r="K595" s="22" t="n"/>
      <c r="L595" s="22" t="n"/>
      <c r="M595" s="22" t="n"/>
      <c r="N595" s="22" t="n"/>
      <c r="O595" s="23">
        <f>IF(COUNT(H595:N595)=0,"",MAX(H595:N595))</f>
        <v/>
      </c>
      <c r="P595" s="24">
        <f>IF(O595="","",INDEX($H$3:$N$3,MATCH(O595,H595:N595,0)))</f>
        <v/>
      </c>
      <c r="Q595" s="23">
        <f>IF(Refino!$L$21="","",G595*Refino!$L$21*(1-RetCraft))</f>
        <v/>
      </c>
      <c r="R595" s="25">
        <f>IF(Artefatos!$L$76="","",Artefatos!$L$76*(1+TaxaCompra))</f>
        <v/>
      </c>
      <c r="S595">
        <f>IF(Artefatos!$M$76="","",Artefatos!$M$76)</f>
        <v/>
      </c>
      <c r="T595" s="25">
        <f>G595*Refino!$D$21+Artefatos!$F$76</f>
        <v/>
      </c>
      <c r="U595" s="25">
        <f>T595*0.1125*FeeCraft/100</f>
        <v/>
      </c>
      <c r="V595" s="23">
        <f>IF(OR(Q595="",R595=""),"",Q595+R595+U595)</f>
        <v/>
      </c>
      <c r="W595" s="23">
        <f>IF(O595="","",O595*(1-TaxaVenda))</f>
        <v/>
      </c>
      <c r="X595" s="26">
        <f>IF(OR(V595="",W595=""),"",W595-V595)</f>
        <v/>
      </c>
      <c r="Y595" s="27">
        <f>IF(X595="","",X595/V595)</f>
        <v/>
      </c>
    </row>
    <row r="596">
      <c r="A596" t="inlineStr">
        <is>
          <t>Valor|Botas|T7.2</t>
        </is>
      </c>
      <c r="B596" t="inlineStr">
        <is>
          <t>Valor</t>
        </is>
      </c>
      <c r="C596" t="inlineStr">
        <is>
          <t>Botas</t>
        </is>
      </c>
      <c r="D596" t="inlineStr">
        <is>
          <t>T7.2</t>
        </is>
      </c>
      <c r="E596" t="n">
        <v>7</v>
      </c>
      <c r="F596" t="n">
        <v>2</v>
      </c>
      <c r="G596" t="n">
        <v>8</v>
      </c>
      <c r="H596" s="22" t="n"/>
      <c r="I596" s="22" t="n"/>
      <c r="J596" s="22" t="n"/>
      <c r="K596" s="22" t="n"/>
      <c r="L596" s="22" t="n"/>
      <c r="M596" s="22" t="n"/>
      <c r="N596" s="22" t="n"/>
      <c r="O596" s="23">
        <f>IF(COUNT(H596:N596)=0,"",MAX(H596:N596))</f>
        <v/>
      </c>
      <c r="P596" s="24">
        <f>IF(O596="","",INDEX($H$3:$N$3,MATCH(O596,H596:N596,0)))</f>
        <v/>
      </c>
      <c r="Q596" s="23">
        <f>IF(Refino!$L$22="","",G596*Refino!$L$22*(1-RetCraft))</f>
        <v/>
      </c>
      <c r="R596" s="25">
        <f>IF(Artefatos!$L$76="","",Artefatos!$L$76*(1+TaxaCompra))</f>
        <v/>
      </c>
      <c r="S596">
        <f>IF(Artefatos!$M$76="","",Artefatos!$M$76)</f>
        <v/>
      </c>
      <c r="T596" s="25">
        <f>G596*Refino!$D$22+Artefatos!$F$76</f>
        <v/>
      </c>
      <c r="U596" s="25">
        <f>T596*0.1125*FeeCraft/100</f>
        <v/>
      </c>
      <c r="V596" s="23">
        <f>IF(OR(Q596="",R596=""),"",Q596+R596+U596)</f>
        <v/>
      </c>
      <c r="W596" s="23">
        <f>IF(O596="","",O596*(1-TaxaVenda))</f>
        <v/>
      </c>
      <c r="X596" s="26">
        <f>IF(OR(V596="",W596=""),"",W596-V596)</f>
        <v/>
      </c>
      <c r="Y596" s="27">
        <f>IF(X596="","",X596/V596)</f>
        <v/>
      </c>
    </row>
    <row r="597">
      <c r="A597" t="inlineStr">
        <is>
          <t>Valor|Botas|T7.3</t>
        </is>
      </c>
      <c r="B597" t="inlineStr">
        <is>
          <t>Valor</t>
        </is>
      </c>
      <c r="C597" t="inlineStr">
        <is>
          <t>Botas</t>
        </is>
      </c>
      <c r="D597" t="inlineStr">
        <is>
          <t>T7.3</t>
        </is>
      </c>
      <c r="E597" t="n">
        <v>7</v>
      </c>
      <c r="F597" t="n">
        <v>3</v>
      </c>
      <c r="G597" t="n">
        <v>8</v>
      </c>
      <c r="H597" s="22" t="n"/>
      <c r="I597" s="22" t="n"/>
      <c r="J597" s="22" t="n"/>
      <c r="K597" s="22" t="n"/>
      <c r="L597" s="22" t="n"/>
      <c r="M597" s="22" t="n"/>
      <c r="N597" s="22" t="n"/>
      <c r="O597" s="23">
        <f>IF(COUNT(H597:N597)=0,"",MAX(H597:N597))</f>
        <v/>
      </c>
      <c r="P597" s="24">
        <f>IF(O597="","",INDEX($H$3:$N$3,MATCH(O597,H597:N597,0)))</f>
        <v/>
      </c>
      <c r="Q597" s="23">
        <f>IF(Refino!$L$23="","",G597*Refino!$L$23*(1-RetCraft))</f>
        <v/>
      </c>
      <c r="R597" s="25">
        <f>IF(Artefatos!$L$76="","",Artefatos!$L$76*(1+TaxaCompra))</f>
        <v/>
      </c>
      <c r="S597">
        <f>IF(Artefatos!$M$76="","",Artefatos!$M$76)</f>
        <v/>
      </c>
      <c r="T597" s="25">
        <f>G597*Refino!$D$23+Artefatos!$F$76</f>
        <v/>
      </c>
      <c r="U597" s="25">
        <f>T597*0.1125*FeeCraft/100</f>
        <v/>
      </c>
      <c r="V597" s="23">
        <f>IF(OR(Q597="",R597=""),"",Q597+R597+U597)</f>
        <v/>
      </c>
      <c r="W597" s="23">
        <f>IF(O597="","",O597*(1-TaxaVenda))</f>
        <v/>
      </c>
      <c r="X597" s="26">
        <f>IF(OR(V597="",W597=""),"",W597-V597)</f>
        <v/>
      </c>
      <c r="Y597" s="27">
        <f>IF(X597="","",X597/V597)</f>
        <v/>
      </c>
    </row>
    <row r="598">
      <c r="A598" t="inlineStr">
        <is>
          <t>Valor|Botas|T7.4</t>
        </is>
      </c>
      <c r="B598" t="inlineStr">
        <is>
          <t>Valor</t>
        </is>
      </c>
      <c r="C598" t="inlineStr">
        <is>
          <t>Botas</t>
        </is>
      </c>
      <c r="D598" t="inlineStr">
        <is>
          <t>T7.4</t>
        </is>
      </c>
      <c r="E598" t="n">
        <v>7</v>
      </c>
      <c r="F598" t="n">
        <v>4</v>
      </c>
      <c r="G598" t="n">
        <v>8</v>
      </c>
      <c r="H598" s="22" t="n"/>
      <c r="I598" s="22" t="n"/>
      <c r="J598" s="22" t="n"/>
      <c r="K598" s="22" t="n"/>
      <c r="L598" s="22" t="n"/>
      <c r="M598" s="22" t="n"/>
      <c r="N598" s="22" t="n"/>
      <c r="O598" s="23">
        <f>IF(COUNT(H598:N598)=0,"",MAX(H598:N598))</f>
        <v/>
      </c>
      <c r="P598" s="24">
        <f>IF(O598="","",INDEX($H$3:$N$3,MATCH(O598,H598:N598,0)))</f>
        <v/>
      </c>
      <c r="Q598" s="23">
        <f>IF(Refino!$L$24="","",G598*Refino!$L$24*(1-RetCraft))</f>
        <v/>
      </c>
      <c r="R598" s="25">
        <f>IF(Artefatos!$L$76="","",Artefatos!$L$76*(1+TaxaCompra))</f>
        <v/>
      </c>
      <c r="S598">
        <f>IF(Artefatos!$M$76="","",Artefatos!$M$76)</f>
        <v/>
      </c>
      <c r="T598" s="25">
        <f>G598*Refino!$D$24+Artefatos!$F$76</f>
        <v/>
      </c>
      <c r="U598" s="25">
        <f>T598*0.1125*FeeCraft/100</f>
        <v/>
      </c>
      <c r="V598" s="23">
        <f>IF(OR(Q598="",R598=""),"",Q598+R598+U598)</f>
        <v/>
      </c>
      <c r="W598" s="23">
        <f>IF(O598="","",O598*(1-TaxaVenda))</f>
        <v/>
      </c>
      <c r="X598" s="26">
        <f>IF(OR(V598="",W598=""),"",W598-V598)</f>
        <v/>
      </c>
      <c r="Y598" s="27">
        <f>IF(X598="","",X598/V598)</f>
        <v/>
      </c>
    </row>
    <row r="599">
      <c r="A599" t="inlineStr">
        <is>
          <t>Valor|Botas|T8.0</t>
        </is>
      </c>
      <c r="B599" t="inlineStr">
        <is>
          <t>Valor</t>
        </is>
      </c>
      <c r="C599" t="inlineStr">
        <is>
          <t>Botas</t>
        </is>
      </c>
      <c r="D599" t="inlineStr">
        <is>
          <t>T8.0</t>
        </is>
      </c>
      <c r="E599" t="n">
        <v>8</v>
      </c>
      <c r="F599" t="n">
        <v>0</v>
      </c>
      <c r="G599" t="n">
        <v>8</v>
      </c>
      <c r="H599" s="22" t="n"/>
      <c r="I599" s="22" t="n"/>
      <c r="J599" s="22" t="n"/>
      <c r="K599" s="22" t="n"/>
      <c r="L599" s="22" t="n"/>
      <c r="M599" s="22" t="n"/>
      <c r="N599" s="22" t="n"/>
      <c r="O599" s="23">
        <f>IF(COUNT(H599:N599)=0,"",MAX(H599:N599))</f>
        <v/>
      </c>
      <c r="P599" s="24">
        <f>IF(O599="","",INDEX($H$3:$N$3,MATCH(O599,H599:N599,0)))</f>
        <v/>
      </c>
      <c r="Q599" s="23">
        <f>IF(Refino!$L$25="","",G599*Refino!$L$25*(1-RetCraft))</f>
        <v/>
      </c>
      <c r="R599" s="25">
        <f>IF(Artefatos!$L$77="","",Artefatos!$L$77*(1+TaxaCompra))</f>
        <v/>
      </c>
      <c r="S599">
        <f>IF(Artefatos!$M$77="","",Artefatos!$M$77)</f>
        <v/>
      </c>
      <c r="T599" s="25">
        <f>G599*Refino!$D$25+Artefatos!$F$77</f>
        <v/>
      </c>
      <c r="U599" s="25">
        <f>T599*0.1125*FeeCraft/100</f>
        <v/>
      </c>
      <c r="V599" s="23">
        <f>IF(OR(Q599="",R599=""),"",Q599+R599+U599)</f>
        <v/>
      </c>
      <c r="W599" s="23">
        <f>IF(O599="","",O599*(1-TaxaVenda))</f>
        <v/>
      </c>
      <c r="X599" s="26">
        <f>IF(OR(V599="",W599=""),"",W599-V599)</f>
        <v/>
      </c>
      <c r="Y599" s="27">
        <f>IF(X599="","",X599/V599)</f>
        <v/>
      </c>
    </row>
    <row r="600">
      <c r="A600" t="inlineStr">
        <is>
          <t>Valor|Botas|T8.1</t>
        </is>
      </c>
      <c r="B600" t="inlineStr">
        <is>
          <t>Valor</t>
        </is>
      </c>
      <c r="C600" t="inlineStr">
        <is>
          <t>Botas</t>
        </is>
      </c>
      <c r="D600" t="inlineStr">
        <is>
          <t>T8.1</t>
        </is>
      </c>
      <c r="E600" t="n">
        <v>8</v>
      </c>
      <c r="F600" t="n">
        <v>1</v>
      </c>
      <c r="G600" t="n">
        <v>8</v>
      </c>
      <c r="H600" s="22" t="n"/>
      <c r="I600" s="22" t="n"/>
      <c r="J600" s="22" t="n"/>
      <c r="K600" s="22" t="n"/>
      <c r="L600" s="22" t="n"/>
      <c r="M600" s="22" t="n"/>
      <c r="N600" s="22" t="n"/>
      <c r="O600" s="23">
        <f>IF(COUNT(H600:N600)=0,"",MAX(H600:N600))</f>
        <v/>
      </c>
      <c r="P600" s="24">
        <f>IF(O600="","",INDEX($H$3:$N$3,MATCH(O600,H600:N600,0)))</f>
        <v/>
      </c>
      <c r="Q600" s="23">
        <f>IF(Refino!$L$26="","",G600*Refino!$L$26*(1-RetCraft))</f>
        <v/>
      </c>
      <c r="R600" s="25">
        <f>IF(Artefatos!$L$77="","",Artefatos!$L$77*(1+TaxaCompra))</f>
        <v/>
      </c>
      <c r="S600">
        <f>IF(Artefatos!$M$77="","",Artefatos!$M$77)</f>
        <v/>
      </c>
      <c r="T600" s="25">
        <f>G600*Refino!$D$26+Artefatos!$F$77</f>
        <v/>
      </c>
      <c r="U600" s="25">
        <f>T600*0.1125*FeeCraft/100</f>
        <v/>
      </c>
      <c r="V600" s="23">
        <f>IF(OR(Q600="",R600=""),"",Q600+R600+U600)</f>
        <v/>
      </c>
      <c r="W600" s="23">
        <f>IF(O600="","",O600*(1-TaxaVenda))</f>
        <v/>
      </c>
      <c r="X600" s="26">
        <f>IF(OR(V600="",W600=""),"",W600-V600)</f>
        <v/>
      </c>
      <c r="Y600" s="27">
        <f>IF(X600="","",X600/V600)</f>
        <v/>
      </c>
    </row>
    <row r="601">
      <c r="A601" t="inlineStr">
        <is>
          <t>Valor|Botas|T8.2</t>
        </is>
      </c>
      <c r="B601" t="inlineStr">
        <is>
          <t>Valor</t>
        </is>
      </c>
      <c r="C601" t="inlineStr">
        <is>
          <t>Botas</t>
        </is>
      </c>
      <c r="D601" t="inlineStr">
        <is>
          <t>T8.2</t>
        </is>
      </c>
      <c r="E601" t="n">
        <v>8</v>
      </c>
      <c r="F601" t="n">
        <v>2</v>
      </c>
      <c r="G601" t="n">
        <v>8</v>
      </c>
      <c r="H601" s="22" t="n"/>
      <c r="I601" s="22" t="n"/>
      <c r="J601" s="22" t="n"/>
      <c r="K601" s="22" t="n"/>
      <c r="L601" s="22" t="n"/>
      <c r="M601" s="22" t="n"/>
      <c r="N601" s="22" t="n"/>
      <c r="O601" s="23">
        <f>IF(COUNT(H601:N601)=0,"",MAX(H601:N601))</f>
        <v/>
      </c>
      <c r="P601" s="24">
        <f>IF(O601="","",INDEX($H$3:$N$3,MATCH(O601,H601:N601,0)))</f>
        <v/>
      </c>
      <c r="Q601" s="23">
        <f>IF(Refino!$L$27="","",G601*Refino!$L$27*(1-RetCraft))</f>
        <v/>
      </c>
      <c r="R601" s="25">
        <f>IF(Artefatos!$L$77="","",Artefatos!$L$77*(1+TaxaCompra))</f>
        <v/>
      </c>
      <c r="S601">
        <f>IF(Artefatos!$M$77="","",Artefatos!$M$77)</f>
        <v/>
      </c>
      <c r="T601" s="25">
        <f>G601*Refino!$D$27+Artefatos!$F$77</f>
        <v/>
      </c>
      <c r="U601" s="25">
        <f>T601*0.1125*FeeCraft/100</f>
        <v/>
      </c>
      <c r="V601" s="23">
        <f>IF(OR(Q601="",R601=""),"",Q601+R601+U601)</f>
        <v/>
      </c>
      <c r="W601" s="23">
        <f>IF(O601="","",O601*(1-TaxaVenda))</f>
        <v/>
      </c>
      <c r="X601" s="26">
        <f>IF(OR(V601="",W601=""),"",W601-V601)</f>
        <v/>
      </c>
      <c r="Y601" s="27">
        <f>IF(X601="","",X601/V601)</f>
        <v/>
      </c>
    </row>
    <row r="602">
      <c r="A602" t="inlineStr">
        <is>
          <t>Valor|Botas|T8.3</t>
        </is>
      </c>
      <c r="B602" t="inlineStr">
        <is>
          <t>Valor</t>
        </is>
      </c>
      <c r="C602" t="inlineStr">
        <is>
          <t>Botas</t>
        </is>
      </c>
      <c r="D602" t="inlineStr">
        <is>
          <t>T8.3</t>
        </is>
      </c>
      <c r="E602" t="n">
        <v>8</v>
      </c>
      <c r="F602" t="n">
        <v>3</v>
      </c>
      <c r="G602" t="n">
        <v>8</v>
      </c>
      <c r="H602" s="22" t="n"/>
      <c r="I602" s="22" t="n"/>
      <c r="J602" s="22" t="n"/>
      <c r="K602" s="22" t="n"/>
      <c r="L602" s="22" t="n"/>
      <c r="M602" s="22" t="n"/>
      <c r="N602" s="22" t="n"/>
      <c r="O602" s="23">
        <f>IF(COUNT(H602:N602)=0,"",MAX(H602:N602))</f>
        <v/>
      </c>
      <c r="P602" s="24">
        <f>IF(O602="","",INDEX($H$3:$N$3,MATCH(O602,H602:N602,0)))</f>
        <v/>
      </c>
      <c r="Q602" s="23">
        <f>IF(Refino!$L$28="","",G602*Refino!$L$28*(1-RetCraft))</f>
        <v/>
      </c>
      <c r="R602" s="25">
        <f>IF(Artefatos!$L$77="","",Artefatos!$L$77*(1+TaxaCompra))</f>
        <v/>
      </c>
      <c r="S602">
        <f>IF(Artefatos!$M$77="","",Artefatos!$M$77)</f>
        <v/>
      </c>
      <c r="T602" s="25">
        <f>G602*Refino!$D$28+Artefatos!$F$77</f>
        <v/>
      </c>
      <c r="U602" s="25">
        <f>T602*0.1125*FeeCraft/100</f>
        <v/>
      </c>
      <c r="V602" s="23">
        <f>IF(OR(Q602="",R602=""),"",Q602+R602+U602)</f>
        <v/>
      </c>
      <c r="W602" s="23">
        <f>IF(O602="","",O602*(1-TaxaVenda))</f>
        <v/>
      </c>
      <c r="X602" s="26">
        <f>IF(OR(V602="",W602=""),"",W602-V602)</f>
        <v/>
      </c>
      <c r="Y602" s="27">
        <f>IF(X602="","",X602/V602)</f>
        <v/>
      </c>
    </row>
    <row r="603">
      <c r="A603" t="inlineStr">
        <is>
          <t>Valor|Botas|T8.4</t>
        </is>
      </c>
      <c r="B603" t="inlineStr">
        <is>
          <t>Valor</t>
        </is>
      </c>
      <c r="C603" t="inlineStr">
        <is>
          <t>Botas</t>
        </is>
      </c>
      <c r="D603" t="inlineStr">
        <is>
          <t>T8.4</t>
        </is>
      </c>
      <c r="E603" t="n">
        <v>8</v>
      </c>
      <c r="F603" t="n">
        <v>4</v>
      </c>
      <c r="G603" t="n">
        <v>8</v>
      </c>
      <c r="H603" s="22" t="n"/>
      <c r="I603" s="22" t="n"/>
      <c r="J603" s="22" t="n"/>
      <c r="K603" s="22" t="n"/>
      <c r="L603" s="22" t="n"/>
      <c r="M603" s="22" t="n"/>
      <c r="N603" s="22" t="n"/>
      <c r="O603" s="23">
        <f>IF(COUNT(H603:N603)=0,"",MAX(H603:N603))</f>
        <v/>
      </c>
      <c r="P603" s="24">
        <f>IF(O603="","",INDEX($H$3:$N$3,MATCH(O603,H603:N603,0)))</f>
        <v/>
      </c>
      <c r="Q603" s="23">
        <f>IF(Refino!$L$29="","",G603*Refino!$L$29*(1-RetCraft))</f>
        <v/>
      </c>
      <c r="R603" s="25">
        <f>IF(Artefatos!$L$77="","",Artefatos!$L$77*(1+TaxaCompra))</f>
        <v/>
      </c>
      <c r="S603">
        <f>IF(Artefatos!$M$77="","",Artefatos!$M$77)</f>
        <v/>
      </c>
      <c r="T603" s="25">
        <f>G603*Refino!$D$29+Artefatos!$F$77</f>
        <v/>
      </c>
      <c r="U603" s="25">
        <f>T603*0.1125*FeeCraft/100</f>
        <v/>
      </c>
      <c r="V603" s="23">
        <f>IF(OR(Q603="",R603=""),"",Q603+R603+U603)</f>
        <v/>
      </c>
      <c r="W603" s="23">
        <f>IF(O603="","",O603*(1-TaxaVenda))</f>
        <v/>
      </c>
      <c r="X603" s="26">
        <f>IF(OR(V603="",W603=""),"",W603-V603)</f>
        <v/>
      </c>
      <c r="Y603" s="27">
        <f>IF(X603="","",X603/V603)</f>
        <v/>
      </c>
    </row>
  </sheetData>
  <autoFilter ref="A3:Y603"/>
  <conditionalFormatting sqref="X4:X603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0" customWidth="1" min="4" max="4"/>
    <col width="9" customWidth="1" min="5" max="5"/>
    <col width="10" customWidth="1" min="6" max="6"/>
    <col width="13" customWidth="1" min="7" max="7"/>
    <col width="13" customWidth="1" min="8" max="8"/>
    <col width="14" customWidth="1" min="9" max="9"/>
    <col width="14" customWidth="1" min="10" max="10"/>
    <col width="12" customWidth="1" min="11" max="11"/>
    <col width="15" customWidth="1" min="12" max="12"/>
    <col width="11" customWidth="1" min="13" max="13"/>
    <col width="12" customWidth="1" min="14" max="14"/>
    <col width="14" customWidth="1" min="15" max="15"/>
    <col width="11" customWidth="1" min="16" max="16"/>
    <col width="11" customWidth="1" min="17" max="17"/>
    <col width="11" customWidth="1" min="18" max="18"/>
    <col width="12" customWidth="1" min="19" max="19"/>
    <col width="13" customWidth="1" min="20" max="20"/>
    <col width="13" customWidth="1" min="21" max="21"/>
    <col width="14" customWidth="1" min="22" max="22"/>
  </cols>
  <sheetData>
    <row r="1">
      <c r="A1" s="1" t="inlineStr">
        <is>
          <t>Refino de barras: refinar x comprar (custo unitário real)</t>
        </is>
      </c>
    </row>
    <row r="2" ht="48" customHeight="1">
      <c r="A2" s="3" t="inlineStr">
        <is>
          <t>Barra</t>
        </is>
      </c>
      <c r="B2" s="3" t="inlineStr">
        <is>
          <t>Tier</t>
        </is>
      </c>
      <c r="C2" s="3" t="inlineStr">
        <is>
          <t>Encant.</t>
        </is>
      </c>
      <c r="D2" s="3" t="inlineStr">
        <is>
          <t>Valor do item</t>
        </is>
      </c>
      <c r="E2" s="3" t="inlineStr">
        <is>
          <t>Qtd minério</t>
        </is>
      </c>
      <c r="F2" s="3" t="inlineStr">
        <is>
          <t>Barra inferior</t>
        </is>
      </c>
      <c r="G2" s="3" t="inlineStr">
        <is>
          <t>Preço minério (c/ taxa)</t>
        </is>
      </c>
      <c r="H2" s="3" t="inlineStr">
        <is>
          <t>Custo ao REFINAR</t>
        </is>
      </c>
      <c r="I2" s="3" t="inlineStr">
        <is>
          <t>Preço barra pronta (c/ taxa)</t>
        </is>
      </c>
      <c r="J2" s="3" t="inlineStr">
        <is>
          <t>Cidade (barra pronta)</t>
        </is>
      </c>
      <c r="K2" s="3" t="inlineStr">
        <is>
          <t>Origem</t>
        </is>
      </c>
      <c r="L2" s="3" t="inlineStr">
        <is>
          <t>CUSTO EFETIVO da barra</t>
        </is>
      </c>
      <c r="M2" s="3" t="inlineStr">
        <is>
          <t>Decisão</t>
        </is>
      </c>
      <c r="N2" s="3" t="inlineStr">
        <is>
          <t>Demanda direta (Craft)</t>
        </is>
      </c>
      <c r="O2" s="3" t="inlineStr">
        <is>
          <t>Demanda por refino superior</t>
        </is>
      </c>
      <c r="P2" s="3" t="inlineStr">
        <is>
          <t>Demanda total</t>
        </is>
      </c>
      <c r="Q2" s="3" t="inlineStr">
        <is>
          <t>Barras a COMPRAR</t>
        </is>
      </c>
      <c r="R2" s="3" t="inlineStr">
        <is>
          <t>Barras a REFINAR</t>
        </is>
      </c>
      <c r="S2" s="3" t="inlineStr">
        <is>
          <t>Minério necessário</t>
        </is>
      </c>
      <c r="T2" s="3" t="inlineStr">
        <is>
          <t>Custo compra barras</t>
        </is>
      </c>
      <c r="U2" s="3" t="inlineStr">
        <is>
          <t>Custo minério</t>
        </is>
      </c>
      <c r="V2" s="3" t="inlineStr">
        <is>
          <t>Cidade minério</t>
        </is>
      </c>
    </row>
    <row r="3">
      <c r="A3" s="28" t="inlineStr">
        <is>
          <t>T2.0</t>
        </is>
      </c>
      <c r="B3" s="4" t="n">
        <v>2</v>
      </c>
      <c r="C3" s="4" t="n">
        <v>0</v>
      </c>
      <c r="D3" s="12">
        <f>2^B3*2^C3</f>
        <v/>
      </c>
      <c r="E3" s="4" t="n">
        <v>1</v>
      </c>
      <c r="F3" s="4" t="inlineStr">
        <is>
          <t>-</t>
        </is>
      </c>
      <c r="G3" s="12">
        <f>IF(Minerio!G3="","",Minerio!G3*(1+TaxaCompra))</f>
        <v/>
      </c>
      <c r="H3" s="13">
        <f>IF(G3="","",E3*G3*(1-RetRefino)+D3*0.1125*FeeRefino/100)</f>
        <v/>
      </c>
      <c r="I3" s="12">
        <f>IF(Barras!G3="","",Barras!G3*(1+TaxaCompra))</f>
        <v/>
      </c>
      <c r="J3" s="4">
        <f>IF(Barras!H3="","",Barras!H3)</f>
        <v/>
      </c>
      <c r="K3" s="11" t="inlineStr">
        <is>
          <t>Automático</t>
        </is>
      </c>
      <c r="L3" s="29">
        <f>IF(K3="Comprar",I3,IF(K3="Refinar",H3,IF(AND(H3="",I3=""),"",IF(H3="",I3,IF(I3="",H3,MIN(H3,I3))))))</f>
        <v/>
      </c>
      <c r="M3" s="30">
        <f>IF(L3="","",IF(K3="Comprar","Comprar",IF(K3="Refinar","Refinar",IF(H3="","Comprar",IF(I3="","Refinar",IF(H3&lt;=I3,"Refinar","Comprar"))))))</f>
        <v/>
      </c>
      <c r="N3" s="31">
        <f>SUMIF(Craft!$C$6:$C$35,$A3,Craft!$S$6:$S$35)</f>
        <v/>
      </c>
      <c r="O3" s="31">
        <f>IF(M4="Refinar",P4*(1-RetRefino),0)</f>
        <v/>
      </c>
      <c r="P3" s="31">
        <f>N3+O3</f>
        <v/>
      </c>
      <c r="Q3" s="31">
        <f>IF(M3="Comprar",P3,0)</f>
        <v/>
      </c>
      <c r="R3" s="31">
        <f>IF(M3="Refinar",P3,0)</f>
        <v/>
      </c>
      <c r="S3" s="31">
        <f>R3*E3*(1-RetRefino)</f>
        <v/>
      </c>
      <c r="T3" s="12">
        <f>IF(AND(Q3&gt;0,ISNUMBER(I3)),Q3*I3,0)</f>
        <v/>
      </c>
      <c r="U3" s="12">
        <f>IF(AND(S3&gt;0,ISNUMBER(G3)),S3*G3,0)</f>
        <v/>
      </c>
      <c r="V3" s="4">
        <f>IF(Minerio!H3="","",Minerio!H3)</f>
        <v/>
      </c>
    </row>
    <row r="4">
      <c r="A4" s="28" t="inlineStr">
        <is>
          <t>T3.0</t>
        </is>
      </c>
      <c r="B4" s="4" t="n">
        <v>3</v>
      </c>
      <c r="C4" s="4" t="n">
        <v>0</v>
      </c>
      <c r="D4" s="12">
        <f>2^B4*2^C4</f>
        <v/>
      </c>
      <c r="E4" s="4" t="n">
        <v>2</v>
      </c>
      <c r="F4" s="4" t="inlineStr">
        <is>
          <t>T2.0</t>
        </is>
      </c>
      <c r="G4" s="12">
        <f>IF(Minerio!G4="","",Minerio!G4*(1+TaxaCompra))</f>
        <v/>
      </c>
      <c r="H4" s="13">
        <f>IF(OR(G4="",L3=""),"",(E4*G4+L3)*(1-RetRefino)+D4*0.1125*FeeRefino/100)</f>
        <v/>
      </c>
      <c r="I4" s="12">
        <f>IF(Barras!G4="","",Barras!G4*(1+TaxaCompra))</f>
        <v/>
      </c>
      <c r="J4" s="4">
        <f>IF(Barras!H4="","",Barras!H4)</f>
        <v/>
      </c>
      <c r="K4" s="11" t="inlineStr">
        <is>
          <t>Automático</t>
        </is>
      </c>
      <c r="L4" s="29">
        <f>IF(K4="Comprar",I4,IF(K4="Refinar",H4,IF(AND(H4="",I4=""),"",IF(H4="",I4,IF(I4="",H4,MIN(H4,I4))))))</f>
        <v/>
      </c>
      <c r="M4" s="30">
        <f>IF(L4="","",IF(K4="Comprar","Comprar",IF(K4="Refinar","Refinar",IF(H4="","Comprar",IF(I4="","Refinar",IF(H4&lt;=I4,"Refinar","Comprar"))))))</f>
        <v/>
      </c>
      <c r="N4" s="31">
        <f>SUMIF(Craft!$C$6:$C$35,$A4,Craft!$S$6:$S$35)</f>
        <v/>
      </c>
      <c r="O4" s="31">
        <f>IF(M5="Refinar",P5*(1-RetRefino),0)+IF(M6="Refinar",P6*(1-RetRefino),0)+IF(M7="Refinar",P7*(1-RetRefino),0)+IF(M8="Refinar",P8*(1-RetRefino),0)+IF(M9="Refinar",P9*(1-RetRefino),0)</f>
        <v/>
      </c>
      <c r="P4" s="31">
        <f>N4+O4</f>
        <v/>
      </c>
      <c r="Q4" s="31">
        <f>IF(M4="Comprar",P4,0)</f>
        <v/>
      </c>
      <c r="R4" s="31">
        <f>IF(M4="Refinar",P4,0)</f>
        <v/>
      </c>
      <c r="S4" s="31">
        <f>R4*E4*(1-RetRefino)</f>
        <v/>
      </c>
      <c r="T4" s="12">
        <f>IF(AND(Q4&gt;0,ISNUMBER(I4)),Q4*I4,0)</f>
        <v/>
      </c>
      <c r="U4" s="12">
        <f>IF(AND(S4&gt;0,ISNUMBER(G4)),S4*G4,0)</f>
        <v/>
      </c>
      <c r="V4" s="4">
        <f>IF(Minerio!H4="","",Minerio!H4)</f>
        <v/>
      </c>
    </row>
    <row r="5">
      <c r="A5" s="28" t="inlineStr">
        <is>
          <t>T4.0</t>
        </is>
      </c>
      <c r="B5" s="4" t="n">
        <v>4</v>
      </c>
      <c r="C5" s="4" t="n">
        <v>0</v>
      </c>
      <c r="D5" s="12">
        <f>2^B5*2^C5</f>
        <v/>
      </c>
      <c r="E5" s="4" t="n">
        <v>2</v>
      </c>
      <c r="F5" s="4" t="inlineStr">
        <is>
          <t>T3.0</t>
        </is>
      </c>
      <c r="G5" s="12">
        <f>IF(Minerio!G5="","",Minerio!G5*(1+TaxaCompra))</f>
        <v/>
      </c>
      <c r="H5" s="13">
        <f>IF(OR(G5="",L4=""),"",(E5*G5+L4)*(1-RetRefino)+D5*0.1125*FeeRefino/100)</f>
        <v/>
      </c>
      <c r="I5" s="12">
        <f>IF(Barras!G5="","",Barras!G5*(1+TaxaCompra))</f>
        <v/>
      </c>
      <c r="J5" s="4">
        <f>IF(Barras!H5="","",Barras!H5)</f>
        <v/>
      </c>
      <c r="K5" s="11" t="inlineStr">
        <is>
          <t>Automático</t>
        </is>
      </c>
      <c r="L5" s="29">
        <f>IF(K5="Comprar",I5,IF(K5="Refinar",H5,IF(AND(H5="",I5=""),"",IF(H5="",I5,IF(I5="",H5,MIN(H5,I5))))))</f>
        <v/>
      </c>
      <c r="M5" s="30">
        <f>IF(L5="","",IF(K5="Comprar","Comprar",IF(K5="Refinar","Refinar",IF(H5="","Comprar",IF(I5="","Refinar",IF(H5&lt;=I5,"Refinar","Comprar"))))))</f>
        <v/>
      </c>
      <c r="N5" s="31">
        <f>SUMIF(Craft!$C$6:$C$35,$A5,Craft!$S$6:$S$35)</f>
        <v/>
      </c>
      <c r="O5" s="31">
        <f>IF(M10="Refinar",P10*(1-RetRefino),0)</f>
        <v/>
      </c>
      <c r="P5" s="31">
        <f>N5+O5</f>
        <v/>
      </c>
      <c r="Q5" s="31">
        <f>IF(M5="Comprar",P5,0)</f>
        <v/>
      </c>
      <c r="R5" s="31">
        <f>IF(M5="Refinar",P5,0)</f>
        <v/>
      </c>
      <c r="S5" s="31">
        <f>R5*E5*(1-RetRefino)</f>
        <v/>
      </c>
      <c r="T5" s="12">
        <f>IF(AND(Q5&gt;0,ISNUMBER(I5)),Q5*I5,0)</f>
        <v/>
      </c>
      <c r="U5" s="12">
        <f>IF(AND(S5&gt;0,ISNUMBER(G5)),S5*G5,0)</f>
        <v/>
      </c>
      <c r="V5" s="4">
        <f>IF(Minerio!H5="","",Minerio!H5)</f>
        <v/>
      </c>
    </row>
    <row r="6">
      <c r="A6" s="28" t="inlineStr">
        <is>
          <t>T4.1</t>
        </is>
      </c>
      <c r="B6" s="4" t="n">
        <v>4</v>
      </c>
      <c r="C6" s="4" t="n">
        <v>1</v>
      </c>
      <c r="D6" s="12">
        <f>2^B6*2^C6</f>
        <v/>
      </c>
      <c r="E6" s="4" t="n">
        <v>2</v>
      </c>
      <c r="F6" s="4" t="inlineStr">
        <is>
          <t>T3.0</t>
        </is>
      </c>
      <c r="G6" s="12">
        <f>IF(Minerio!G6="","",Minerio!G6*(1+TaxaCompra))</f>
        <v/>
      </c>
      <c r="H6" s="13">
        <f>IF(OR(G6="",L4=""),"",(E6*G6+L4)*(1-RetRefino)+D6*0.1125*FeeRefino/100)</f>
        <v/>
      </c>
      <c r="I6" s="12">
        <f>IF(Barras!G6="","",Barras!G6*(1+TaxaCompra))</f>
        <v/>
      </c>
      <c r="J6" s="4">
        <f>IF(Barras!H6="","",Barras!H6)</f>
        <v/>
      </c>
      <c r="K6" s="11" t="inlineStr">
        <is>
          <t>Automático</t>
        </is>
      </c>
      <c r="L6" s="29">
        <f>IF(K6="Comprar",I6,IF(K6="Refinar",H6,IF(AND(H6="",I6=""),"",IF(H6="",I6,IF(I6="",H6,MIN(H6,I6))))))</f>
        <v/>
      </c>
      <c r="M6" s="30">
        <f>IF(L6="","",IF(K6="Comprar","Comprar",IF(K6="Refinar","Refinar",IF(H6="","Comprar",IF(I6="","Refinar",IF(H6&lt;=I6,"Refinar","Comprar"))))))</f>
        <v/>
      </c>
      <c r="N6" s="31">
        <f>SUMIF(Craft!$C$6:$C$35,$A6,Craft!$S$6:$S$35)</f>
        <v/>
      </c>
      <c r="O6" s="31">
        <f>IF(M11="Refinar",P11*(1-RetRefino),0)</f>
        <v/>
      </c>
      <c r="P6" s="31">
        <f>N6+O6</f>
        <v/>
      </c>
      <c r="Q6" s="31">
        <f>IF(M6="Comprar",P6,0)</f>
        <v/>
      </c>
      <c r="R6" s="31">
        <f>IF(M6="Refinar",P6,0)</f>
        <v/>
      </c>
      <c r="S6" s="31">
        <f>R6*E6*(1-RetRefino)</f>
        <v/>
      </c>
      <c r="T6" s="12">
        <f>IF(AND(Q6&gt;0,ISNUMBER(I6)),Q6*I6,0)</f>
        <v/>
      </c>
      <c r="U6" s="12">
        <f>IF(AND(S6&gt;0,ISNUMBER(G6)),S6*G6,0)</f>
        <v/>
      </c>
      <c r="V6" s="4">
        <f>IF(Minerio!H6="","",Minerio!H6)</f>
        <v/>
      </c>
    </row>
    <row r="7">
      <c r="A7" s="28" t="inlineStr">
        <is>
          <t>T4.2</t>
        </is>
      </c>
      <c r="B7" s="4" t="n">
        <v>4</v>
      </c>
      <c r="C7" s="4" t="n">
        <v>2</v>
      </c>
      <c r="D7" s="12">
        <f>2^B7*2^C7</f>
        <v/>
      </c>
      <c r="E7" s="4" t="n">
        <v>2</v>
      </c>
      <c r="F7" s="4" t="inlineStr">
        <is>
          <t>T3.0</t>
        </is>
      </c>
      <c r="G7" s="12">
        <f>IF(Minerio!G7="","",Minerio!G7*(1+TaxaCompra))</f>
        <v/>
      </c>
      <c r="H7" s="13">
        <f>IF(OR(G7="",L4=""),"",(E7*G7+L4)*(1-RetRefino)+D7*0.1125*FeeRefino/100)</f>
        <v/>
      </c>
      <c r="I7" s="12">
        <f>IF(Barras!G7="","",Barras!G7*(1+TaxaCompra))</f>
        <v/>
      </c>
      <c r="J7" s="4">
        <f>IF(Barras!H7="","",Barras!H7)</f>
        <v/>
      </c>
      <c r="K7" s="11" t="inlineStr">
        <is>
          <t>Automático</t>
        </is>
      </c>
      <c r="L7" s="29">
        <f>IF(K7="Comprar",I7,IF(K7="Refinar",H7,IF(AND(H7="",I7=""),"",IF(H7="",I7,IF(I7="",H7,MIN(H7,I7))))))</f>
        <v/>
      </c>
      <c r="M7" s="30">
        <f>IF(L7="","",IF(K7="Comprar","Comprar",IF(K7="Refinar","Refinar",IF(H7="","Comprar",IF(I7="","Refinar",IF(H7&lt;=I7,"Refinar","Comprar"))))))</f>
        <v/>
      </c>
      <c r="N7" s="31">
        <f>SUMIF(Craft!$C$6:$C$35,$A7,Craft!$S$6:$S$35)</f>
        <v/>
      </c>
      <c r="O7" s="31">
        <f>IF(M12="Refinar",P12*(1-RetRefino),0)</f>
        <v/>
      </c>
      <c r="P7" s="31">
        <f>N7+O7</f>
        <v/>
      </c>
      <c r="Q7" s="31">
        <f>IF(M7="Comprar",P7,0)</f>
        <v/>
      </c>
      <c r="R7" s="31">
        <f>IF(M7="Refinar",P7,0)</f>
        <v/>
      </c>
      <c r="S7" s="31">
        <f>R7*E7*(1-RetRefino)</f>
        <v/>
      </c>
      <c r="T7" s="12">
        <f>IF(AND(Q7&gt;0,ISNUMBER(I7)),Q7*I7,0)</f>
        <v/>
      </c>
      <c r="U7" s="12">
        <f>IF(AND(S7&gt;0,ISNUMBER(G7)),S7*G7,0)</f>
        <v/>
      </c>
      <c r="V7" s="4">
        <f>IF(Minerio!H7="","",Minerio!H7)</f>
        <v/>
      </c>
    </row>
    <row r="8">
      <c r="A8" s="28" t="inlineStr">
        <is>
          <t>T4.3</t>
        </is>
      </c>
      <c r="B8" s="4" t="n">
        <v>4</v>
      </c>
      <c r="C8" s="4" t="n">
        <v>3</v>
      </c>
      <c r="D8" s="12">
        <f>2^B8*2^C8</f>
        <v/>
      </c>
      <c r="E8" s="4" t="n">
        <v>2</v>
      </c>
      <c r="F8" s="4" t="inlineStr">
        <is>
          <t>T3.0</t>
        </is>
      </c>
      <c r="G8" s="12">
        <f>IF(Minerio!G8="","",Minerio!G8*(1+TaxaCompra))</f>
        <v/>
      </c>
      <c r="H8" s="13">
        <f>IF(OR(G8="",L4=""),"",(E8*G8+L4)*(1-RetRefino)+D8*0.1125*FeeRefino/100)</f>
        <v/>
      </c>
      <c r="I8" s="12">
        <f>IF(Barras!G8="","",Barras!G8*(1+TaxaCompra))</f>
        <v/>
      </c>
      <c r="J8" s="4">
        <f>IF(Barras!H8="","",Barras!H8)</f>
        <v/>
      </c>
      <c r="K8" s="11" t="inlineStr">
        <is>
          <t>Automático</t>
        </is>
      </c>
      <c r="L8" s="29">
        <f>IF(K8="Comprar",I8,IF(K8="Refinar",H8,IF(AND(H8="",I8=""),"",IF(H8="",I8,IF(I8="",H8,MIN(H8,I8))))))</f>
        <v/>
      </c>
      <c r="M8" s="30">
        <f>IF(L8="","",IF(K8="Comprar","Comprar",IF(K8="Refinar","Refinar",IF(H8="","Comprar",IF(I8="","Refinar",IF(H8&lt;=I8,"Refinar","Comprar"))))))</f>
        <v/>
      </c>
      <c r="N8" s="31">
        <f>SUMIF(Craft!$C$6:$C$35,$A8,Craft!$S$6:$S$35)</f>
        <v/>
      </c>
      <c r="O8" s="31">
        <f>IF(M13="Refinar",P13*(1-RetRefino),0)</f>
        <v/>
      </c>
      <c r="P8" s="31">
        <f>N8+O8</f>
        <v/>
      </c>
      <c r="Q8" s="31">
        <f>IF(M8="Comprar",P8,0)</f>
        <v/>
      </c>
      <c r="R8" s="31">
        <f>IF(M8="Refinar",P8,0)</f>
        <v/>
      </c>
      <c r="S8" s="31">
        <f>R8*E8*(1-RetRefino)</f>
        <v/>
      </c>
      <c r="T8" s="12">
        <f>IF(AND(Q8&gt;0,ISNUMBER(I8)),Q8*I8,0)</f>
        <v/>
      </c>
      <c r="U8" s="12">
        <f>IF(AND(S8&gt;0,ISNUMBER(G8)),S8*G8,0)</f>
        <v/>
      </c>
      <c r="V8" s="4">
        <f>IF(Minerio!H8="","",Minerio!H8)</f>
        <v/>
      </c>
    </row>
    <row r="9">
      <c r="A9" s="28" t="inlineStr">
        <is>
          <t>T4.4</t>
        </is>
      </c>
      <c r="B9" s="4" t="n">
        <v>4</v>
      </c>
      <c r="C9" s="4" t="n">
        <v>4</v>
      </c>
      <c r="D9" s="12">
        <f>2^B9*2^C9</f>
        <v/>
      </c>
      <c r="E9" s="4" t="n">
        <v>2</v>
      </c>
      <c r="F9" s="4" t="inlineStr">
        <is>
          <t>T3.0</t>
        </is>
      </c>
      <c r="G9" s="12">
        <f>IF(Minerio!G9="","",Minerio!G9*(1+TaxaCompra))</f>
        <v/>
      </c>
      <c r="H9" s="13">
        <f>IF(OR(G9="",L4=""),"",(E9*G9+L4)*(1-RetRefino)+D9*0.1125*FeeRefino/100)</f>
        <v/>
      </c>
      <c r="I9" s="12">
        <f>IF(Barras!G9="","",Barras!G9*(1+TaxaCompra))</f>
        <v/>
      </c>
      <c r="J9" s="4">
        <f>IF(Barras!H9="","",Barras!H9)</f>
        <v/>
      </c>
      <c r="K9" s="11" t="inlineStr">
        <is>
          <t>Automático</t>
        </is>
      </c>
      <c r="L9" s="29">
        <f>IF(K9="Comprar",I9,IF(K9="Refinar",H9,IF(AND(H9="",I9=""),"",IF(H9="",I9,IF(I9="",H9,MIN(H9,I9))))))</f>
        <v/>
      </c>
      <c r="M9" s="30">
        <f>IF(L9="","",IF(K9="Comprar","Comprar",IF(K9="Refinar","Refinar",IF(H9="","Comprar",IF(I9="","Refinar",IF(H9&lt;=I9,"Refinar","Comprar"))))))</f>
        <v/>
      </c>
      <c r="N9" s="31">
        <f>SUMIF(Craft!$C$6:$C$35,$A9,Craft!$S$6:$S$35)</f>
        <v/>
      </c>
      <c r="O9" s="31">
        <f>IF(M14="Refinar",P14*(1-RetRefino),0)</f>
        <v/>
      </c>
      <c r="P9" s="31">
        <f>N9+O9</f>
        <v/>
      </c>
      <c r="Q9" s="31">
        <f>IF(M9="Comprar",P9,0)</f>
        <v/>
      </c>
      <c r="R9" s="31">
        <f>IF(M9="Refinar",P9,0)</f>
        <v/>
      </c>
      <c r="S9" s="31">
        <f>R9*E9*(1-RetRefino)</f>
        <v/>
      </c>
      <c r="T9" s="12">
        <f>IF(AND(Q9&gt;0,ISNUMBER(I9)),Q9*I9,0)</f>
        <v/>
      </c>
      <c r="U9" s="12">
        <f>IF(AND(S9&gt;0,ISNUMBER(G9)),S9*G9,0)</f>
        <v/>
      </c>
      <c r="V9" s="4">
        <f>IF(Minerio!H9="","",Minerio!H9)</f>
        <v/>
      </c>
    </row>
    <row r="10">
      <c r="A10" s="28" t="inlineStr">
        <is>
          <t>T5.0</t>
        </is>
      </c>
      <c r="B10" s="4" t="n">
        <v>5</v>
      </c>
      <c r="C10" s="4" t="n">
        <v>0</v>
      </c>
      <c r="D10" s="12">
        <f>2^B10*2^C10</f>
        <v/>
      </c>
      <c r="E10" s="4" t="n">
        <v>3</v>
      </c>
      <c r="F10" s="4" t="inlineStr">
        <is>
          <t>T4.0</t>
        </is>
      </c>
      <c r="G10" s="12">
        <f>IF(Minerio!G10="","",Minerio!G10*(1+TaxaCompra))</f>
        <v/>
      </c>
      <c r="H10" s="13">
        <f>IF(OR(G10="",L5=""),"",(E10*G10+L5)*(1-RetRefino)+D10*0.1125*FeeRefino/100)</f>
        <v/>
      </c>
      <c r="I10" s="12">
        <f>IF(Barras!G10="","",Barras!G10*(1+TaxaCompra))</f>
        <v/>
      </c>
      <c r="J10" s="4">
        <f>IF(Barras!H10="","",Barras!H10)</f>
        <v/>
      </c>
      <c r="K10" s="11" t="inlineStr">
        <is>
          <t>Automático</t>
        </is>
      </c>
      <c r="L10" s="29">
        <f>IF(K10="Comprar",I10,IF(K10="Refinar",H10,IF(AND(H10="",I10=""),"",IF(H10="",I10,IF(I10="",H10,MIN(H10,I10))))))</f>
        <v/>
      </c>
      <c r="M10" s="30">
        <f>IF(L10="","",IF(K10="Comprar","Comprar",IF(K10="Refinar","Refinar",IF(H10="","Comprar",IF(I10="","Refinar",IF(H10&lt;=I10,"Refinar","Comprar"))))))</f>
        <v/>
      </c>
      <c r="N10" s="31">
        <f>SUMIF(Craft!$C$6:$C$35,$A10,Craft!$S$6:$S$35)</f>
        <v/>
      </c>
      <c r="O10" s="31">
        <f>IF(M15="Refinar",P15*(1-RetRefino),0)</f>
        <v/>
      </c>
      <c r="P10" s="31">
        <f>N10+O10</f>
        <v/>
      </c>
      <c r="Q10" s="31">
        <f>IF(M10="Comprar",P10,0)</f>
        <v/>
      </c>
      <c r="R10" s="31">
        <f>IF(M10="Refinar",P10,0)</f>
        <v/>
      </c>
      <c r="S10" s="31">
        <f>R10*E10*(1-RetRefino)</f>
        <v/>
      </c>
      <c r="T10" s="12">
        <f>IF(AND(Q10&gt;0,ISNUMBER(I10)),Q10*I10,0)</f>
        <v/>
      </c>
      <c r="U10" s="12">
        <f>IF(AND(S10&gt;0,ISNUMBER(G10)),S10*G10,0)</f>
        <v/>
      </c>
      <c r="V10" s="4">
        <f>IF(Minerio!H10="","",Minerio!H10)</f>
        <v/>
      </c>
    </row>
    <row r="11">
      <c r="A11" s="28" t="inlineStr">
        <is>
          <t>T5.1</t>
        </is>
      </c>
      <c r="B11" s="4" t="n">
        <v>5</v>
      </c>
      <c r="C11" s="4" t="n">
        <v>1</v>
      </c>
      <c r="D11" s="12">
        <f>2^B11*2^C11</f>
        <v/>
      </c>
      <c r="E11" s="4" t="n">
        <v>3</v>
      </c>
      <c r="F11" s="4" t="inlineStr">
        <is>
          <t>T4.1</t>
        </is>
      </c>
      <c r="G11" s="12">
        <f>IF(Minerio!G11="","",Minerio!G11*(1+TaxaCompra))</f>
        <v/>
      </c>
      <c r="H11" s="13">
        <f>IF(OR(G11="",L6=""),"",(E11*G11+L6)*(1-RetRefino)+D11*0.1125*FeeRefino/100)</f>
        <v/>
      </c>
      <c r="I11" s="12">
        <f>IF(Barras!G11="","",Barras!G11*(1+TaxaCompra))</f>
        <v/>
      </c>
      <c r="J11" s="4">
        <f>IF(Barras!H11="","",Barras!H11)</f>
        <v/>
      </c>
      <c r="K11" s="11" t="inlineStr">
        <is>
          <t>Automático</t>
        </is>
      </c>
      <c r="L11" s="29">
        <f>IF(K11="Comprar",I11,IF(K11="Refinar",H11,IF(AND(H11="",I11=""),"",IF(H11="",I11,IF(I11="",H11,MIN(H11,I11))))))</f>
        <v/>
      </c>
      <c r="M11" s="30">
        <f>IF(L11="","",IF(K11="Comprar","Comprar",IF(K11="Refinar","Refinar",IF(H11="","Comprar",IF(I11="","Refinar",IF(H11&lt;=I11,"Refinar","Comprar"))))))</f>
        <v/>
      </c>
      <c r="N11" s="31">
        <f>SUMIF(Craft!$C$6:$C$35,$A11,Craft!$S$6:$S$35)</f>
        <v/>
      </c>
      <c r="O11" s="31">
        <f>IF(M16="Refinar",P16*(1-RetRefino),0)</f>
        <v/>
      </c>
      <c r="P11" s="31">
        <f>N11+O11</f>
        <v/>
      </c>
      <c r="Q11" s="31">
        <f>IF(M11="Comprar",P11,0)</f>
        <v/>
      </c>
      <c r="R11" s="31">
        <f>IF(M11="Refinar",P11,0)</f>
        <v/>
      </c>
      <c r="S11" s="31">
        <f>R11*E11*(1-RetRefino)</f>
        <v/>
      </c>
      <c r="T11" s="12">
        <f>IF(AND(Q11&gt;0,ISNUMBER(I11)),Q11*I11,0)</f>
        <v/>
      </c>
      <c r="U11" s="12">
        <f>IF(AND(S11&gt;0,ISNUMBER(G11)),S11*G11,0)</f>
        <v/>
      </c>
      <c r="V11" s="4">
        <f>IF(Minerio!H11="","",Minerio!H11)</f>
        <v/>
      </c>
    </row>
    <row r="12">
      <c r="A12" s="28" t="inlineStr">
        <is>
          <t>T5.2</t>
        </is>
      </c>
      <c r="B12" s="4" t="n">
        <v>5</v>
      </c>
      <c r="C12" s="4" t="n">
        <v>2</v>
      </c>
      <c r="D12" s="12">
        <f>2^B12*2^C12</f>
        <v/>
      </c>
      <c r="E12" s="4" t="n">
        <v>3</v>
      </c>
      <c r="F12" s="4" t="inlineStr">
        <is>
          <t>T4.2</t>
        </is>
      </c>
      <c r="G12" s="12">
        <f>IF(Minerio!G12="","",Minerio!G12*(1+TaxaCompra))</f>
        <v/>
      </c>
      <c r="H12" s="13">
        <f>IF(OR(G12="",L7=""),"",(E12*G12+L7)*(1-RetRefino)+D12*0.1125*FeeRefino/100)</f>
        <v/>
      </c>
      <c r="I12" s="12">
        <f>IF(Barras!G12="","",Barras!G12*(1+TaxaCompra))</f>
        <v/>
      </c>
      <c r="J12" s="4">
        <f>IF(Barras!H12="","",Barras!H12)</f>
        <v/>
      </c>
      <c r="K12" s="11" t="inlineStr">
        <is>
          <t>Automático</t>
        </is>
      </c>
      <c r="L12" s="29">
        <f>IF(K12="Comprar",I12,IF(K12="Refinar",H12,IF(AND(H12="",I12=""),"",IF(H12="",I12,IF(I12="",H12,MIN(H12,I12))))))</f>
        <v/>
      </c>
      <c r="M12" s="30">
        <f>IF(L12="","",IF(K12="Comprar","Comprar",IF(K12="Refinar","Refinar",IF(H12="","Comprar",IF(I12="","Refinar",IF(H12&lt;=I12,"Refinar","Comprar"))))))</f>
        <v/>
      </c>
      <c r="N12" s="31">
        <f>SUMIF(Craft!$C$6:$C$35,$A12,Craft!$S$6:$S$35)</f>
        <v/>
      </c>
      <c r="O12" s="31">
        <f>IF(M17="Refinar",P17*(1-RetRefino),0)</f>
        <v/>
      </c>
      <c r="P12" s="31">
        <f>N12+O12</f>
        <v/>
      </c>
      <c r="Q12" s="31">
        <f>IF(M12="Comprar",P12,0)</f>
        <v/>
      </c>
      <c r="R12" s="31">
        <f>IF(M12="Refinar",P12,0)</f>
        <v/>
      </c>
      <c r="S12" s="31">
        <f>R12*E12*(1-RetRefino)</f>
        <v/>
      </c>
      <c r="T12" s="12">
        <f>IF(AND(Q12&gt;0,ISNUMBER(I12)),Q12*I12,0)</f>
        <v/>
      </c>
      <c r="U12" s="12">
        <f>IF(AND(S12&gt;0,ISNUMBER(G12)),S12*G12,0)</f>
        <v/>
      </c>
      <c r="V12" s="4">
        <f>IF(Minerio!H12="","",Minerio!H12)</f>
        <v/>
      </c>
    </row>
    <row r="13">
      <c r="A13" s="28" t="inlineStr">
        <is>
          <t>T5.3</t>
        </is>
      </c>
      <c r="B13" s="4" t="n">
        <v>5</v>
      </c>
      <c r="C13" s="4" t="n">
        <v>3</v>
      </c>
      <c r="D13" s="12">
        <f>2^B13*2^C13</f>
        <v/>
      </c>
      <c r="E13" s="4" t="n">
        <v>3</v>
      </c>
      <c r="F13" s="4" t="inlineStr">
        <is>
          <t>T4.3</t>
        </is>
      </c>
      <c r="G13" s="12">
        <f>IF(Minerio!G13="","",Minerio!G13*(1+TaxaCompra))</f>
        <v/>
      </c>
      <c r="H13" s="13">
        <f>IF(OR(G13="",L8=""),"",(E13*G13+L8)*(1-RetRefino)+D13*0.1125*FeeRefino/100)</f>
        <v/>
      </c>
      <c r="I13" s="12">
        <f>IF(Barras!G13="","",Barras!G13*(1+TaxaCompra))</f>
        <v/>
      </c>
      <c r="J13" s="4">
        <f>IF(Barras!H13="","",Barras!H13)</f>
        <v/>
      </c>
      <c r="K13" s="11" t="inlineStr">
        <is>
          <t>Automático</t>
        </is>
      </c>
      <c r="L13" s="29">
        <f>IF(K13="Comprar",I13,IF(K13="Refinar",H13,IF(AND(H13="",I13=""),"",IF(H13="",I13,IF(I13="",H13,MIN(H13,I13))))))</f>
        <v/>
      </c>
      <c r="M13" s="30">
        <f>IF(L13="","",IF(K13="Comprar","Comprar",IF(K13="Refinar","Refinar",IF(H13="","Comprar",IF(I13="","Refinar",IF(H13&lt;=I13,"Refinar","Comprar"))))))</f>
        <v/>
      </c>
      <c r="N13" s="31">
        <f>SUMIF(Craft!$C$6:$C$35,$A13,Craft!$S$6:$S$35)</f>
        <v/>
      </c>
      <c r="O13" s="31">
        <f>IF(M18="Refinar",P18*(1-RetRefino),0)</f>
        <v/>
      </c>
      <c r="P13" s="31">
        <f>N13+O13</f>
        <v/>
      </c>
      <c r="Q13" s="31">
        <f>IF(M13="Comprar",P13,0)</f>
        <v/>
      </c>
      <c r="R13" s="31">
        <f>IF(M13="Refinar",P13,0)</f>
        <v/>
      </c>
      <c r="S13" s="31">
        <f>R13*E13*(1-RetRefino)</f>
        <v/>
      </c>
      <c r="T13" s="12">
        <f>IF(AND(Q13&gt;0,ISNUMBER(I13)),Q13*I13,0)</f>
        <v/>
      </c>
      <c r="U13" s="12">
        <f>IF(AND(S13&gt;0,ISNUMBER(G13)),S13*G13,0)</f>
        <v/>
      </c>
      <c r="V13" s="4">
        <f>IF(Minerio!H13="","",Minerio!H13)</f>
        <v/>
      </c>
    </row>
    <row r="14">
      <c r="A14" s="28" t="inlineStr">
        <is>
          <t>T5.4</t>
        </is>
      </c>
      <c r="B14" s="4" t="n">
        <v>5</v>
      </c>
      <c r="C14" s="4" t="n">
        <v>4</v>
      </c>
      <c r="D14" s="12">
        <f>2^B14*2^C14</f>
        <v/>
      </c>
      <c r="E14" s="4" t="n">
        <v>3</v>
      </c>
      <c r="F14" s="4" t="inlineStr">
        <is>
          <t>T4.4</t>
        </is>
      </c>
      <c r="G14" s="12">
        <f>IF(Minerio!G14="","",Minerio!G14*(1+TaxaCompra))</f>
        <v/>
      </c>
      <c r="H14" s="13">
        <f>IF(OR(G14="",L9=""),"",(E14*G14+L9)*(1-RetRefino)+D14*0.1125*FeeRefino/100)</f>
        <v/>
      </c>
      <c r="I14" s="12">
        <f>IF(Barras!G14="","",Barras!G14*(1+TaxaCompra))</f>
        <v/>
      </c>
      <c r="J14" s="4">
        <f>IF(Barras!H14="","",Barras!H14)</f>
        <v/>
      </c>
      <c r="K14" s="11" t="inlineStr">
        <is>
          <t>Automático</t>
        </is>
      </c>
      <c r="L14" s="29">
        <f>IF(K14="Comprar",I14,IF(K14="Refinar",H14,IF(AND(H14="",I14=""),"",IF(H14="",I14,IF(I14="",H14,MIN(H14,I14))))))</f>
        <v/>
      </c>
      <c r="M14" s="30">
        <f>IF(L14="","",IF(K14="Comprar","Comprar",IF(K14="Refinar","Refinar",IF(H14="","Comprar",IF(I14="","Refinar",IF(H14&lt;=I14,"Refinar","Comprar"))))))</f>
        <v/>
      </c>
      <c r="N14" s="31">
        <f>SUMIF(Craft!$C$6:$C$35,$A14,Craft!$S$6:$S$35)</f>
        <v/>
      </c>
      <c r="O14" s="31">
        <f>IF(M19="Refinar",P19*(1-RetRefino),0)</f>
        <v/>
      </c>
      <c r="P14" s="31">
        <f>N14+O14</f>
        <v/>
      </c>
      <c r="Q14" s="31">
        <f>IF(M14="Comprar",P14,0)</f>
        <v/>
      </c>
      <c r="R14" s="31">
        <f>IF(M14="Refinar",P14,0)</f>
        <v/>
      </c>
      <c r="S14" s="31">
        <f>R14*E14*(1-RetRefino)</f>
        <v/>
      </c>
      <c r="T14" s="12">
        <f>IF(AND(Q14&gt;0,ISNUMBER(I14)),Q14*I14,0)</f>
        <v/>
      </c>
      <c r="U14" s="12">
        <f>IF(AND(S14&gt;0,ISNUMBER(G14)),S14*G14,0)</f>
        <v/>
      </c>
      <c r="V14" s="4">
        <f>IF(Minerio!H14="","",Minerio!H14)</f>
        <v/>
      </c>
    </row>
    <row r="15">
      <c r="A15" s="28" t="inlineStr">
        <is>
          <t>T6.0</t>
        </is>
      </c>
      <c r="B15" s="4" t="n">
        <v>6</v>
      </c>
      <c r="C15" s="4" t="n">
        <v>0</v>
      </c>
      <c r="D15" s="12">
        <f>2^B15*2^C15</f>
        <v/>
      </c>
      <c r="E15" s="4" t="n">
        <v>4</v>
      </c>
      <c r="F15" s="4" t="inlineStr">
        <is>
          <t>T5.0</t>
        </is>
      </c>
      <c r="G15" s="12">
        <f>IF(Minerio!G15="","",Minerio!G15*(1+TaxaCompra))</f>
        <v/>
      </c>
      <c r="H15" s="13">
        <f>IF(OR(G15="",L10=""),"",(E15*G15+L10)*(1-RetRefino)+D15*0.1125*FeeRefino/100)</f>
        <v/>
      </c>
      <c r="I15" s="12">
        <f>IF(Barras!G15="","",Barras!G15*(1+TaxaCompra))</f>
        <v/>
      </c>
      <c r="J15" s="4">
        <f>IF(Barras!H15="","",Barras!H15)</f>
        <v/>
      </c>
      <c r="K15" s="11" t="inlineStr">
        <is>
          <t>Automático</t>
        </is>
      </c>
      <c r="L15" s="29">
        <f>IF(K15="Comprar",I15,IF(K15="Refinar",H15,IF(AND(H15="",I15=""),"",IF(H15="",I15,IF(I15="",H15,MIN(H15,I15))))))</f>
        <v/>
      </c>
      <c r="M15" s="30">
        <f>IF(L15="","",IF(K15="Comprar","Comprar",IF(K15="Refinar","Refinar",IF(H15="","Comprar",IF(I15="","Refinar",IF(H15&lt;=I15,"Refinar","Comprar"))))))</f>
        <v/>
      </c>
      <c r="N15" s="31">
        <f>SUMIF(Craft!$C$6:$C$35,$A15,Craft!$S$6:$S$35)</f>
        <v/>
      </c>
      <c r="O15" s="31">
        <f>IF(M20="Refinar",P20*(1-RetRefino),0)</f>
        <v/>
      </c>
      <c r="P15" s="31">
        <f>N15+O15</f>
        <v/>
      </c>
      <c r="Q15" s="31">
        <f>IF(M15="Comprar",P15,0)</f>
        <v/>
      </c>
      <c r="R15" s="31">
        <f>IF(M15="Refinar",P15,0)</f>
        <v/>
      </c>
      <c r="S15" s="31">
        <f>R15*E15*(1-RetRefino)</f>
        <v/>
      </c>
      <c r="T15" s="12">
        <f>IF(AND(Q15&gt;0,ISNUMBER(I15)),Q15*I15,0)</f>
        <v/>
      </c>
      <c r="U15" s="12">
        <f>IF(AND(S15&gt;0,ISNUMBER(G15)),S15*G15,0)</f>
        <v/>
      </c>
      <c r="V15" s="4">
        <f>IF(Minerio!H15="","",Minerio!H15)</f>
        <v/>
      </c>
    </row>
    <row r="16">
      <c r="A16" s="28" t="inlineStr">
        <is>
          <t>T6.1</t>
        </is>
      </c>
      <c r="B16" s="4" t="n">
        <v>6</v>
      </c>
      <c r="C16" s="4" t="n">
        <v>1</v>
      </c>
      <c r="D16" s="12">
        <f>2^B16*2^C16</f>
        <v/>
      </c>
      <c r="E16" s="4" t="n">
        <v>4</v>
      </c>
      <c r="F16" s="4" t="inlineStr">
        <is>
          <t>T5.1</t>
        </is>
      </c>
      <c r="G16" s="12">
        <f>IF(Minerio!G16="","",Minerio!G16*(1+TaxaCompra))</f>
        <v/>
      </c>
      <c r="H16" s="13">
        <f>IF(OR(G16="",L11=""),"",(E16*G16+L11)*(1-RetRefino)+D16*0.1125*FeeRefino/100)</f>
        <v/>
      </c>
      <c r="I16" s="12">
        <f>IF(Barras!G16="","",Barras!G16*(1+TaxaCompra))</f>
        <v/>
      </c>
      <c r="J16" s="4">
        <f>IF(Barras!H16="","",Barras!H16)</f>
        <v/>
      </c>
      <c r="K16" s="11" t="inlineStr">
        <is>
          <t>Automático</t>
        </is>
      </c>
      <c r="L16" s="29">
        <f>IF(K16="Comprar",I16,IF(K16="Refinar",H16,IF(AND(H16="",I16=""),"",IF(H16="",I16,IF(I16="",H16,MIN(H16,I16))))))</f>
        <v/>
      </c>
      <c r="M16" s="30">
        <f>IF(L16="","",IF(K16="Comprar","Comprar",IF(K16="Refinar","Refinar",IF(H16="","Comprar",IF(I16="","Refinar",IF(H16&lt;=I16,"Refinar","Comprar"))))))</f>
        <v/>
      </c>
      <c r="N16" s="31">
        <f>SUMIF(Craft!$C$6:$C$35,$A16,Craft!$S$6:$S$35)</f>
        <v/>
      </c>
      <c r="O16" s="31">
        <f>IF(M21="Refinar",P21*(1-RetRefino),0)</f>
        <v/>
      </c>
      <c r="P16" s="31">
        <f>N16+O16</f>
        <v/>
      </c>
      <c r="Q16" s="31">
        <f>IF(M16="Comprar",P16,0)</f>
        <v/>
      </c>
      <c r="R16" s="31">
        <f>IF(M16="Refinar",P16,0)</f>
        <v/>
      </c>
      <c r="S16" s="31">
        <f>R16*E16*(1-RetRefino)</f>
        <v/>
      </c>
      <c r="T16" s="12">
        <f>IF(AND(Q16&gt;0,ISNUMBER(I16)),Q16*I16,0)</f>
        <v/>
      </c>
      <c r="U16" s="12">
        <f>IF(AND(S16&gt;0,ISNUMBER(G16)),S16*G16,0)</f>
        <v/>
      </c>
      <c r="V16" s="4">
        <f>IF(Minerio!H16="","",Minerio!H16)</f>
        <v/>
      </c>
    </row>
    <row r="17">
      <c r="A17" s="28" t="inlineStr">
        <is>
          <t>T6.2</t>
        </is>
      </c>
      <c r="B17" s="4" t="n">
        <v>6</v>
      </c>
      <c r="C17" s="4" t="n">
        <v>2</v>
      </c>
      <c r="D17" s="12">
        <f>2^B17*2^C17</f>
        <v/>
      </c>
      <c r="E17" s="4" t="n">
        <v>4</v>
      </c>
      <c r="F17" s="4" t="inlineStr">
        <is>
          <t>T5.2</t>
        </is>
      </c>
      <c r="G17" s="12">
        <f>IF(Minerio!G17="","",Minerio!G17*(1+TaxaCompra))</f>
        <v/>
      </c>
      <c r="H17" s="13">
        <f>IF(OR(G17="",L12=""),"",(E17*G17+L12)*(1-RetRefino)+D17*0.1125*FeeRefino/100)</f>
        <v/>
      </c>
      <c r="I17" s="12">
        <f>IF(Barras!G17="","",Barras!G17*(1+TaxaCompra))</f>
        <v/>
      </c>
      <c r="J17" s="4">
        <f>IF(Barras!H17="","",Barras!H17)</f>
        <v/>
      </c>
      <c r="K17" s="11" t="inlineStr">
        <is>
          <t>Automático</t>
        </is>
      </c>
      <c r="L17" s="29">
        <f>IF(K17="Comprar",I17,IF(K17="Refinar",H17,IF(AND(H17="",I17=""),"",IF(H17="",I17,IF(I17="",H17,MIN(H17,I17))))))</f>
        <v/>
      </c>
      <c r="M17" s="30">
        <f>IF(L17="","",IF(K17="Comprar","Comprar",IF(K17="Refinar","Refinar",IF(H17="","Comprar",IF(I17="","Refinar",IF(H17&lt;=I17,"Refinar","Comprar"))))))</f>
        <v/>
      </c>
      <c r="N17" s="31">
        <f>SUMIF(Craft!$C$6:$C$35,$A17,Craft!$S$6:$S$35)</f>
        <v/>
      </c>
      <c r="O17" s="31">
        <f>IF(M22="Refinar",P22*(1-RetRefino),0)</f>
        <v/>
      </c>
      <c r="P17" s="31">
        <f>N17+O17</f>
        <v/>
      </c>
      <c r="Q17" s="31">
        <f>IF(M17="Comprar",P17,0)</f>
        <v/>
      </c>
      <c r="R17" s="31">
        <f>IF(M17="Refinar",P17,0)</f>
        <v/>
      </c>
      <c r="S17" s="31">
        <f>R17*E17*(1-RetRefino)</f>
        <v/>
      </c>
      <c r="T17" s="12">
        <f>IF(AND(Q17&gt;0,ISNUMBER(I17)),Q17*I17,0)</f>
        <v/>
      </c>
      <c r="U17" s="12">
        <f>IF(AND(S17&gt;0,ISNUMBER(G17)),S17*G17,0)</f>
        <v/>
      </c>
      <c r="V17" s="4">
        <f>IF(Minerio!H17="","",Minerio!H17)</f>
        <v/>
      </c>
    </row>
    <row r="18">
      <c r="A18" s="28" t="inlineStr">
        <is>
          <t>T6.3</t>
        </is>
      </c>
      <c r="B18" s="4" t="n">
        <v>6</v>
      </c>
      <c r="C18" s="4" t="n">
        <v>3</v>
      </c>
      <c r="D18" s="12">
        <f>2^B18*2^C18</f>
        <v/>
      </c>
      <c r="E18" s="4" t="n">
        <v>4</v>
      </c>
      <c r="F18" s="4" t="inlineStr">
        <is>
          <t>T5.3</t>
        </is>
      </c>
      <c r="G18" s="12">
        <f>IF(Minerio!G18="","",Minerio!G18*(1+TaxaCompra))</f>
        <v/>
      </c>
      <c r="H18" s="13">
        <f>IF(OR(G18="",L13=""),"",(E18*G18+L13)*(1-RetRefino)+D18*0.1125*FeeRefino/100)</f>
        <v/>
      </c>
      <c r="I18" s="12">
        <f>IF(Barras!G18="","",Barras!G18*(1+TaxaCompra))</f>
        <v/>
      </c>
      <c r="J18" s="4">
        <f>IF(Barras!H18="","",Barras!H18)</f>
        <v/>
      </c>
      <c r="K18" s="11" t="inlineStr">
        <is>
          <t>Automático</t>
        </is>
      </c>
      <c r="L18" s="29">
        <f>IF(K18="Comprar",I18,IF(K18="Refinar",H18,IF(AND(H18="",I18=""),"",IF(H18="",I18,IF(I18="",H18,MIN(H18,I18))))))</f>
        <v/>
      </c>
      <c r="M18" s="30">
        <f>IF(L18="","",IF(K18="Comprar","Comprar",IF(K18="Refinar","Refinar",IF(H18="","Comprar",IF(I18="","Refinar",IF(H18&lt;=I18,"Refinar","Comprar"))))))</f>
        <v/>
      </c>
      <c r="N18" s="31">
        <f>SUMIF(Craft!$C$6:$C$35,$A18,Craft!$S$6:$S$35)</f>
        <v/>
      </c>
      <c r="O18" s="31">
        <f>IF(M23="Refinar",P23*(1-RetRefino),0)</f>
        <v/>
      </c>
      <c r="P18" s="31">
        <f>N18+O18</f>
        <v/>
      </c>
      <c r="Q18" s="31">
        <f>IF(M18="Comprar",P18,0)</f>
        <v/>
      </c>
      <c r="R18" s="31">
        <f>IF(M18="Refinar",P18,0)</f>
        <v/>
      </c>
      <c r="S18" s="31">
        <f>R18*E18*(1-RetRefino)</f>
        <v/>
      </c>
      <c r="T18" s="12">
        <f>IF(AND(Q18&gt;0,ISNUMBER(I18)),Q18*I18,0)</f>
        <v/>
      </c>
      <c r="U18" s="12">
        <f>IF(AND(S18&gt;0,ISNUMBER(G18)),S18*G18,0)</f>
        <v/>
      </c>
      <c r="V18" s="4">
        <f>IF(Minerio!H18="","",Minerio!H18)</f>
        <v/>
      </c>
    </row>
    <row r="19">
      <c r="A19" s="28" t="inlineStr">
        <is>
          <t>T6.4</t>
        </is>
      </c>
      <c r="B19" s="4" t="n">
        <v>6</v>
      </c>
      <c r="C19" s="4" t="n">
        <v>4</v>
      </c>
      <c r="D19" s="12">
        <f>2^B19*2^C19</f>
        <v/>
      </c>
      <c r="E19" s="4" t="n">
        <v>4</v>
      </c>
      <c r="F19" s="4" t="inlineStr">
        <is>
          <t>T5.4</t>
        </is>
      </c>
      <c r="G19" s="12">
        <f>IF(Minerio!G19="","",Minerio!G19*(1+TaxaCompra))</f>
        <v/>
      </c>
      <c r="H19" s="13">
        <f>IF(OR(G19="",L14=""),"",(E19*G19+L14)*(1-RetRefino)+D19*0.1125*FeeRefino/100)</f>
        <v/>
      </c>
      <c r="I19" s="12">
        <f>IF(Barras!G19="","",Barras!G19*(1+TaxaCompra))</f>
        <v/>
      </c>
      <c r="J19" s="4">
        <f>IF(Barras!H19="","",Barras!H19)</f>
        <v/>
      </c>
      <c r="K19" s="11" t="inlineStr">
        <is>
          <t>Automático</t>
        </is>
      </c>
      <c r="L19" s="29">
        <f>IF(K19="Comprar",I19,IF(K19="Refinar",H19,IF(AND(H19="",I19=""),"",IF(H19="",I19,IF(I19="",H19,MIN(H19,I19))))))</f>
        <v/>
      </c>
      <c r="M19" s="30">
        <f>IF(L19="","",IF(K19="Comprar","Comprar",IF(K19="Refinar","Refinar",IF(H19="","Comprar",IF(I19="","Refinar",IF(H19&lt;=I19,"Refinar","Comprar"))))))</f>
        <v/>
      </c>
      <c r="N19" s="31">
        <f>SUMIF(Craft!$C$6:$C$35,$A19,Craft!$S$6:$S$35)</f>
        <v/>
      </c>
      <c r="O19" s="31">
        <f>IF(M24="Refinar",P24*(1-RetRefino),0)</f>
        <v/>
      </c>
      <c r="P19" s="31">
        <f>N19+O19</f>
        <v/>
      </c>
      <c r="Q19" s="31">
        <f>IF(M19="Comprar",P19,0)</f>
        <v/>
      </c>
      <c r="R19" s="31">
        <f>IF(M19="Refinar",P19,0)</f>
        <v/>
      </c>
      <c r="S19" s="31">
        <f>R19*E19*(1-RetRefino)</f>
        <v/>
      </c>
      <c r="T19" s="12">
        <f>IF(AND(Q19&gt;0,ISNUMBER(I19)),Q19*I19,0)</f>
        <v/>
      </c>
      <c r="U19" s="12">
        <f>IF(AND(S19&gt;0,ISNUMBER(G19)),S19*G19,0)</f>
        <v/>
      </c>
      <c r="V19" s="4">
        <f>IF(Minerio!H19="","",Minerio!H19)</f>
        <v/>
      </c>
    </row>
    <row r="20">
      <c r="A20" s="28" t="inlineStr">
        <is>
          <t>T7.0</t>
        </is>
      </c>
      <c r="B20" s="4" t="n">
        <v>7</v>
      </c>
      <c r="C20" s="4" t="n">
        <v>0</v>
      </c>
      <c r="D20" s="12">
        <f>2^B20*2^C20</f>
        <v/>
      </c>
      <c r="E20" s="4" t="n">
        <v>5</v>
      </c>
      <c r="F20" s="4" t="inlineStr">
        <is>
          <t>T6.0</t>
        </is>
      </c>
      <c r="G20" s="12">
        <f>IF(Minerio!G20="","",Minerio!G20*(1+TaxaCompra))</f>
        <v/>
      </c>
      <c r="H20" s="13">
        <f>IF(OR(G20="",L15=""),"",(E20*G20+L15)*(1-RetRefino)+D20*0.1125*FeeRefino/100)</f>
        <v/>
      </c>
      <c r="I20" s="12">
        <f>IF(Barras!G20="","",Barras!G20*(1+TaxaCompra))</f>
        <v/>
      </c>
      <c r="J20" s="4">
        <f>IF(Barras!H20="","",Barras!H20)</f>
        <v/>
      </c>
      <c r="K20" s="11" t="inlineStr">
        <is>
          <t>Automático</t>
        </is>
      </c>
      <c r="L20" s="29">
        <f>IF(K20="Comprar",I20,IF(K20="Refinar",H20,IF(AND(H20="",I20=""),"",IF(H20="",I20,IF(I20="",H20,MIN(H20,I20))))))</f>
        <v/>
      </c>
      <c r="M20" s="30">
        <f>IF(L20="","",IF(K20="Comprar","Comprar",IF(K20="Refinar","Refinar",IF(H20="","Comprar",IF(I20="","Refinar",IF(H20&lt;=I20,"Refinar","Comprar"))))))</f>
        <v/>
      </c>
      <c r="N20" s="31">
        <f>SUMIF(Craft!$C$6:$C$35,$A20,Craft!$S$6:$S$35)</f>
        <v/>
      </c>
      <c r="O20" s="31">
        <f>IF(M25="Refinar",P25*(1-RetRefino),0)</f>
        <v/>
      </c>
      <c r="P20" s="31">
        <f>N20+O20</f>
        <v/>
      </c>
      <c r="Q20" s="31">
        <f>IF(M20="Comprar",P20,0)</f>
        <v/>
      </c>
      <c r="R20" s="31">
        <f>IF(M20="Refinar",P20,0)</f>
        <v/>
      </c>
      <c r="S20" s="31">
        <f>R20*E20*(1-RetRefino)</f>
        <v/>
      </c>
      <c r="T20" s="12">
        <f>IF(AND(Q20&gt;0,ISNUMBER(I20)),Q20*I20,0)</f>
        <v/>
      </c>
      <c r="U20" s="12">
        <f>IF(AND(S20&gt;0,ISNUMBER(G20)),S20*G20,0)</f>
        <v/>
      </c>
      <c r="V20" s="4">
        <f>IF(Minerio!H20="","",Minerio!H20)</f>
        <v/>
      </c>
    </row>
    <row r="21">
      <c r="A21" s="28" t="inlineStr">
        <is>
          <t>T7.1</t>
        </is>
      </c>
      <c r="B21" s="4" t="n">
        <v>7</v>
      </c>
      <c r="C21" s="4" t="n">
        <v>1</v>
      </c>
      <c r="D21" s="12">
        <f>2^B21*2^C21</f>
        <v/>
      </c>
      <c r="E21" s="4" t="n">
        <v>5</v>
      </c>
      <c r="F21" s="4" t="inlineStr">
        <is>
          <t>T6.1</t>
        </is>
      </c>
      <c r="G21" s="12">
        <f>IF(Minerio!G21="","",Minerio!G21*(1+TaxaCompra))</f>
        <v/>
      </c>
      <c r="H21" s="13">
        <f>IF(OR(G21="",L16=""),"",(E21*G21+L16)*(1-RetRefino)+D21*0.1125*FeeRefino/100)</f>
        <v/>
      </c>
      <c r="I21" s="12">
        <f>IF(Barras!G21="","",Barras!G21*(1+TaxaCompra))</f>
        <v/>
      </c>
      <c r="J21" s="4">
        <f>IF(Barras!H21="","",Barras!H21)</f>
        <v/>
      </c>
      <c r="K21" s="11" t="inlineStr">
        <is>
          <t>Automático</t>
        </is>
      </c>
      <c r="L21" s="29">
        <f>IF(K21="Comprar",I21,IF(K21="Refinar",H21,IF(AND(H21="",I21=""),"",IF(H21="",I21,IF(I21="",H21,MIN(H21,I21))))))</f>
        <v/>
      </c>
      <c r="M21" s="30">
        <f>IF(L21="","",IF(K21="Comprar","Comprar",IF(K21="Refinar","Refinar",IF(H21="","Comprar",IF(I21="","Refinar",IF(H21&lt;=I21,"Refinar","Comprar"))))))</f>
        <v/>
      </c>
      <c r="N21" s="31">
        <f>SUMIF(Craft!$C$6:$C$35,$A21,Craft!$S$6:$S$35)</f>
        <v/>
      </c>
      <c r="O21" s="31">
        <f>IF(M26="Refinar",P26*(1-RetRefino),0)</f>
        <v/>
      </c>
      <c r="P21" s="31">
        <f>N21+O21</f>
        <v/>
      </c>
      <c r="Q21" s="31">
        <f>IF(M21="Comprar",P21,0)</f>
        <v/>
      </c>
      <c r="R21" s="31">
        <f>IF(M21="Refinar",P21,0)</f>
        <v/>
      </c>
      <c r="S21" s="31">
        <f>R21*E21*(1-RetRefino)</f>
        <v/>
      </c>
      <c r="T21" s="12">
        <f>IF(AND(Q21&gt;0,ISNUMBER(I21)),Q21*I21,0)</f>
        <v/>
      </c>
      <c r="U21" s="12">
        <f>IF(AND(S21&gt;0,ISNUMBER(G21)),S21*G21,0)</f>
        <v/>
      </c>
      <c r="V21" s="4">
        <f>IF(Minerio!H21="","",Minerio!H21)</f>
        <v/>
      </c>
    </row>
    <row r="22">
      <c r="A22" s="28" t="inlineStr">
        <is>
          <t>T7.2</t>
        </is>
      </c>
      <c r="B22" s="4" t="n">
        <v>7</v>
      </c>
      <c r="C22" s="4" t="n">
        <v>2</v>
      </c>
      <c r="D22" s="12">
        <f>2^B22*2^C22</f>
        <v/>
      </c>
      <c r="E22" s="4" t="n">
        <v>5</v>
      </c>
      <c r="F22" s="4" t="inlineStr">
        <is>
          <t>T6.2</t>
        </is>
      </c>
      <c r="G22" s="12">
        <f>IF(Minerio!G22="","",Minerio!G22*(1+TaxaCompra))</f>
        <v/>
      </c>
      <c r="H22" s="13">
        <f>IF(OR(G22="",L17=""),"",(E22*G22+L17)*(1-RetRefino)+D22*0.1125*FeeRefino/100)</f>
        <v/>
      </c>
      <c r="I22" s="12">
        <f>IF(Barras!G22="","",Barras!G22*(1+TaxaCompra))</f>
        <v/>
      </c>
      <c r="J22" s="4">
        <f>IF(Barras!H22="","",Barras!H22)</f>
        <v/>
      </c>
      <c r="K22" s="11" t="inlineStr">
        <is>
          <t>Automático</t>
        </is>
      </c>
      <c r="L22" s="29">
        <f>IF(K22="Comprar",I22,IF(K22="Refinar",H22,IF(AND(H22="",I22=""),"",IF(H22="",I22,IF(I22="",H22,MIN(H22,I22))))))</f>
        <v/>
      </c>
      <c r="M22" s="30">
        <f>IF(L22="","",IF(K22="Comprar","Comprar",IF(K22="Refinar","Refinar",IF(H22="","Comprar",IF(I22="","Refinar",IF(H22&lt;=I22,"Refinar","Comprar"))))))</f>
        <v/>
      </c>
      <c r="N22" s="31">
        <f>SUMIF(Craft!$C$6:$C$35,$A22,Craft!$S$6:$S$35)</f>
        <v/>
      </c>
      <c r="O22" s="31">
        <f>IF(M27="Refinar",P27*(1-RetRefino),0)</f>
        <v/>
      </c>
      <c r="P22" s="31">
        <f>N22+O22</f>
        <v/>
      </c>
      <c r="Q22" s="31">
        <f>IF(M22="Comprar",P22,0)</f>
        <v/>
      </c>
      <c r="R22" s="31">
        <f>IF(M22="Refinar",P22,0)</f>
        <v/>
      </c>
      <c r="S22" s="31">
        <f>R22*E22*(1-RetRefino)</f>
        <v/>
      </c>
      <c r="T22" s="12">
        <f>IF(AND(Q22&gt;0,ISNUMBER(I22)),Q22*I22,0)</f>
        <v/>
      </c>
      <c r="U22" s="12">
        <f>IF(AND(S22&gt;0,ISNUMBER(G22)),S22*G22,0)</f>
        <v/>
      </c>
      <c r="V22" s="4">
        <f>IF(Minerio!H22="","",Minerio!H22)</f>
        <v/>
      </c>
    </row>
    <row r="23">
      <c r="A23" s="28" t="inlineStr">
        <is>
          <t>T7.3</t>
        </is>
      </c>
      <c r="B23" s="4" t="n">
        <v>7</v>
      </c>
      <c r="C23" s="4" t="n">
        <v>3</v>
      </c>
      <c r="D23" s="12">
        <f>2^B23*2^C23</f>
        <v/>
      </c>
      <c r="E23" s="4" t="n">
        <v>5</v>
      </c>
      <c r="F23" s="4" t="inlineStr">
        <is>
          <t>T6.3</t>
        </is>
      </c>
      <c r="G23" s="12">
        <f>IF(Minerio!G23="","",Minerio!G23*(1+TaxaCompra))</f>
        <v/>
      </c>
      <c r="H23" s="13">
        <f>IF(OR(G23="",L18=""),"",(E23*G23+L18)*(1-RetRefino)+D23*0.1125*FeeRefino/100)</f>
        <v/>
      </c>
      <c r="I23" s="12">
        <f>IF(Barras!G23="","",Barras!G23*(1+TaxaCompra))</f>
        <v/>
      </c>
      <c r="J23" s="4">
        <f>IF(Barras!H23="","",Barras!H23)</f>
        <v/>
      </c>
      <c r="K23" s="11" t="inlineStr">
        <is>
          <t>Automático</t>
        </is>
      </c>
      <c r="L23" s="29">
        <f>IF(K23="Comprar",I23,IF(K23="Refinar",H23,IF(AND(H23="",I23=""),"",IF(H23="",I23,IF(I23="",H23,MIN(H23,I23))))))</f>
        <v/>
      </c>
      <c r="M23" s="30">
        <f>IF(L23="","",IF(K23="Comprar","Comprar",IF(K23="Refinar","Refinar",IF(H23="","Comprar",IF(I23="","Refinar",IF(H23&lt;=I23,"Refinar","Comprar"))))))</f>
        <v/>
      </c>
      <c r="N23" s="31">
        <f>SUMIF(Craft!$C$6:$C$35,$A23,Craft!$S$6:$S$35)</f>
        <v/>
      </c>
      <c r="O23" s="31">
        <f>IF(M28="Refinar",P28*(1-RetRefino),0)</f>
        <v/>
      </c>
      <c r="P23" s="31">
        <f>N23+O23</f>
        <v/>
      </c>
      <c r="Q23" s="31">
        <f>IF(M23="Comprar",P23,0)</f>
        <v/>
      </c>
      <c r="R23" s="31">
        <f>IF(M23="Refinar",P23,0)</f>
        <v/>
      </c>
      <c r="S23" s="31">
        <f>R23*E23*(1-RetRefino)</f>
        <v/>
      </c>
      <c r="T23" s="12">
        <f>IF(AND(Q23&gt;0,ISNUMBER(I23)),Q23*I23,0)</f>
        <v/>
      </c>
      <c r="U23" s="12">
        <f>IF(AND(S23&gt;0,ISNUMBER(G23)),S23*G23,0)</f>
        <v/>
      </c>
      <c r="V23" s="4">
        <f>IF(Minerio!H23="","",Minerio!H23)</f>
        <v/>
      </c>
    </row>
    <row r="24">
      <c r="A24" s="28" t="inlineStr">
        <is>
          <t>T7.4</t>
        </is>
      </c>
      <c r="B24" s="4" t="n">
        <v>7</v>
      </c>
      <c r="C24" s="4" t="n">
        <v>4</v>
      </c>
      <c r="D24" s="12">
        <f>2^B24*2^C24</f>
        <v/>
      </c>
      <c r="E24" s="4" t="n">
        <v>5</v>
      </c>
      <c r="F24" s="4" t="inlineStr">
        <is>
          <t>T6.4</t>
        </is>
      </c>
      <c r="G24" s="12">
        <f>IF(Minerio!G24="","",Minerio!G24*(1+TaxaCompra))</f>
        <v/>
      </c>
      <c r="H24" s="13">
        <f>IF(OR(G24="",L19=""),"",(E24*G24+L19)*(1-RetRefino)+D24*0.1125*FeeRefino/100)</f>
        <v/>
      </c>
      <c r="I24" s="12">
        <f>IF(Barras!G24="","",Barras!G24*(1+TaxaCompra))</f>
        <v/>
      </c>
      <c r="J24" s="4">
        <f>IF(Barras!H24="","",Barras!H24)</f>
        <v/>
      </c>
      <c r="K24" s="11" t="inlineStr">
        <is>
          <t>Automático</t>
        </is>
      </c>
      <c r="L24" s="29">
        <f>IF(K24="Comprar",I24,IF(K24="Refinar",H24,IF(AND(H24="",I24=""),"",IF(H24="",I24,IF(I24="",H24,MIN(H24,I24))))))</f>
        <v/>
      </c>
      <c r="M24" s="30">
        <f>IF(L24="","",IF(K24="Comprar","Comprar",IF(K24="Refinar","Refinar",IF(H24="","Comprar",IF(I24="","Refinar",IF(H24&lt;=I24,"Refinar","Comprar"))))))</f>
        <v/>
      </c>
      <c r="N24" s="31">
        <f>SUMIF(Craft!$C$6:$C$35,$A24,Craft!$S$6:$S$35)</f>
        <v/>
      </c>
      <c r="O24" s="31">
        <f>IF(M29="Refinar",P29*(1-RetRefino),0)</f>
        <v/>
      </c>
      <c r="P24" s="31">
        <f>N24+O24</f>
        <v/>
      </c>
      <c r="Q24" s="31">
        <f>IF(M24="Comprar",P24,0)</f>
        <v/>
      </c>
      <c r="R24" s="31">
        <f>IF(M24="Refinar",P24,0)</f>
        <v/>
      </c>
      <c r="S24" s="31">
        <f>R24*E24*(1-RetRefino)</f>
        <v/>
      </c>
      <c r="T24" s="12">
        <f>IF(AND(Q24&gt;0,ISNUMBER(I24)),Q24*I24,0)</f>
        <v/>
      </c>
      <c r="U24" s="12">
        <f>IF(AND(S24&gt;0,ISNUMBER(G24)),S24*G24,0)</f>
        <v/>
      </c>
      <c r="V24" s="4">
        <f>IF(Minerio!H24="","",Minerio!H24)</f>
        <v/>
      </c>
    </row>
    <row r="25">
      <c r="A25" s="28" t="inlineStr">
        <is>
          <t>T8.0</t>
        </is>
      </c>
      <c r="B25" s="4" t="n">
        <v>8</v>
      </c>
      <c r="C25" s="4" t="n">
        <v>0</v>
      </c>
      <c r="D25" s="12">
        <f>2^B25*2^C25</f>
        <v/>
      </c>
      <c r="E25" s="4" t="n">
        <v>5</v>
      </c>
      <c r="F25" s="4" t="inlineStr">
        <is>
          <t>T7.0</t>
        </is>
      </c>
      <c r="G25" s="12">
        <f>IF(Minerio!G25="","",Minerio!G25*(1+TaxaCompra))</f>
        <v/>
      </c>
      <c r="H25" s="13">
        <f>IF(OR(G25="",L20=""),"",(E25*G25+L20)*(1-RetRefino)+D25*0.1125*FeeRefino/100)</f>
        <v/>
      </c>
      <c r="I25" s="12">
        <f>IF(Barras!G25="","",Barras!G25*(1+TaxaCompra))</f>
        <v/>
      </c>
      <c r="J25" s="4">
        <f>IF(Barras!H25="","",Barras!H25)</f>
        <v/>
      </c>
      <c r="K25" s="11" t="inlineStr">
        <is>
          <t>Automático</t>
        </is>
      </c>
      <c r="L25" s="29">
        <f>IF(K25="Comprar",I25,IF(K25="Refinar",H25,IF(AND(H25="",I25=""),"",IF(H25="",I25,IF(I25="",H25,MIN(H25,I25))))))</f>
        <v/>
      </c>
      <c r="M25" s="30">
        <f>IF(L25="","",IF(K25="Comprar","Comprar",IF(K25="Refinar","Refinar",IF(H25="","Comprar",IF(I25="","Refinar",IF(H25&lt;=I25,"Refinar","Comprar"))))))</f>
        <v/>
      </c>
      <c r="N25" s="31">
        <f>SUMIF(Craft!$C$6:$C$35,$A25,Craft!$S$6:$S$35)</f>
        <v/>
      </c>
      <c r="O25" s="31" t="n">
        <v>0</v>
      </c>
      <c r="P25" s="31">
        <f>N25+O25</f>
        <v/>
      </c>
      <c r="Q25" s="31">
        <f>IF(M25="Comprar",P25,0)</f>
        <v/>
      </c>
      <c r="R25" s="31">
        <f>IF(M25="Refinar",P25,0)</f>
        <v/>
      </c>
      <c r="S25" s="31">
        <f>R25*E25*(1-RetRefino)</f>
        <v/>
      </c>
      <c r="T25" s="12">
        <f>IF(AND(Q25&gt;0,ISNUMBER(I25)),Q25*I25,0)</f>
        <v/>
      </c>
      <c r="U25" s="12">
        <f>IF(AND(S25&gt;0,ISNUMBER(G25)),S25*G25,0)</f>
        <v/>
      </c>
      <c r="V25" s="4">
        <f>IF(Minerio!H25="","",Minerio!H25)</f>
        <v/>
      </c>
    </row>
    <row r="26">
      <c r="A26" s="28" t="inlineStr">
        <is>
          <t>T8.1</t>
        </is>
      </c>
      <c r="B26" s="4" t="n">
        <v>8</v>
      </c>
      <c r="C26" s="4" t="n">
        <v>1</v>
      </c>
      <c r="D26" s="12">
        <f>2^B26*2^C26</f>
        <v/>
      </c>
      <c r="E26" s="4" t="n">
        <v>5</v>
      </c>
      <c r="F26" s="4" t="inlineStr">
        <is>
          <t>T7.1</t>
        </is>
      </c>
      <c r="G26" s="12">
        <f>IF(Minerio!G26="","",Minerio!G26*(1+TaxaCompra))</f>
        <v/>
      </c>
      <c r="H26" s="13">
        <f>IF(OR(G26="",L21=""),"",(E26*G26+L21)*(1-RetRefino)+D26*0.1125*FeeRefino/100)</f>
        <v/>
      </c>
      <c r="I26" s="12">
        <f>IF(Barras!G26="","",Barras!G26*(1+TaxaCompra))</f>
        <v/>
      </c>
      <c r="J26" s="4">
        <f>IF(Barras!H26="","",Barras!H26)</f>
        <v/>
      </c>
      <c r="K26" s="11" t="inlineStr">
        <is>
          <t>Automático</t>
        </is>
      </c>
      <c r="L26" s="29">
        <f>IF(K26="Comprar",I26,IF(K26="Refinar",H26,IF(AND(H26="",I26=""),"",IF(H26="",I26,IF(I26="",H26,MIN(H26,I26))))))</f>
        <v/>
      </c>
      <c r="M26" s="30">
        <f>IF(L26="","",IF(K26="Comprar","Comprar",IF(K26="Refinar","Refinar",IF(H26="","Comprar",IF(I26="","Refinar",IF(H26&lt;=I26,"Refinar","Comprar"))))))</f>
        <v/>
      </c>
      <c r="N26" s="31">
        <f>SUMIF(Craft!$C$6:$C$35,$A26,Craft!$S$6:$S$35)</f>
        <v/>
      </c>
      <c r="O26" s="31" t="n">
        <v>0</v>
      </c>
      <c r="P26" s="31">
        <f>N26+O26</f>
        <v/>
      </c>
      <c r="Q26" s="31">
        <f>IF(M26="Comprar",P26,0)</f>
        <v/>
      </c>
      <c r="R26" s="31">
        <f>IF(M26="Refinar",P26,0)</f>
        <v/>
      </c>
      <c r="S26" s="31">
        <f>R26*E26*(1-RetRefino)</f>
        <v/>
      </c>
      <c r="T26" s="12">
        <f>IF(AND(Q26&gt;0,ISNUMBER(I26)),Q26*I26,0)</f>
        <v/>
      </c>
      <c r="U26" s="12">
        <f>IF(AND(S26&gt;0,ISNUMBER(G26)),S26*G26,0)</f>
        <v/>
      </c>
      <c r="V26" s="4">
        <f>IF(Minerio!H26="","",Minerio!H26)</f>
        <v/>
      </c>
    </row>
    <row r="27">
      <c r="A27" s="28" t="inlineStr">
        <is>
          <t>T8.2</t>
        </is>
      </c>
      <c r="B27" s="4" t="n">
        <v>8</v>
      </c>
      <c r="C27" s="4" t="n">
        <v>2</v>
      </c>
      <c r="D27" s="12">
        <f>2^B27*2^C27</f>
        <v/>
      </c>
      <c r="E27" s="4" t="n">
        <v>5</v>
      </c>
      <c r="F27" s="4" t="inlineStr">
        <is>
          <t>T7.2</t>
        </is>
      </c>
      <c r="G27" s="12">
        <f>IF(Minerio!G27="","",Minerio!G27*(1+TaxaCompra))</f>
        <v/>
      </c>
      <c r="H27" s="13">
        <f>IF(OR(G27="",L22=""),"",(E27*G27+L22)*(1-RetRefino)+D27*0.1125*FeeRefino/100)</f>
        <v/>
      </c>
      <c r="I27" s="12">
        <f>IF(Barras!G27="","",Barras!G27*(1+TaxaCompra))</f>
        <v/>
      </c>
      <c r="J27" s="4">
        <f>IF(Barras!H27="","",Barras!H27)</f>
        <v/>
      </c>
      <c r="K27" s="11" t="inlineStr">
        <is>
          <t>Automático</t>
        </is>
      </c>
      <c r="L27" s="29">
        <f>IF(K27="Comprar",I27,IF(K27="Refinar",H27,IF(AND(H27="",I27=""),"",IF(H27="",I27,IF(I27="",H27,MIN(H27,I27))))))</f>
        <v/>
      </c>
      <c r="M27" s="30">
        <f>IF(L27="","",IF(K27="Comprar","Comprar",IF(K27="Refinar","Refinar",IF(H27="","Comprar",IF(I27="","Refinar",IF(H27&lt;=I27,"Refinar","Comprar"))))))</f>
        <v/>
      </c>
      <c r="N27" s="31">
        <f>SUMIF(Craft!$C$6:$C$35,$A27,Craft!$S$6:$S$35)</f>
        <v/>
      </c>
      <c r="O27" s="31" t="n">
        <v>0</v>
      </c>
      <c r="P27" s="31">
        <f>N27+O27</f>
        <v/>
      </c>
      <c r="Q27" s="31">
        <f>IF(M27="Comprar",P27,0)</f>
        <v/>
      </c>
      <c r="R27" s="31">
        <f>IF(M27="Refinar",P27,0)</f>
        <v/>
      </c>
      <c r="S27" s="31">
        <f>R27*E27*(1-RetRefino)</f>
        <v/>
      </c>
      <c r="T27" s="12">
        <f>IF(AND(Q27&gt;0,ISNUMBER(I27)),Q27*I27,0)</f>
        <v/>
      </c>
      <c r="U27" s="12">
        <f>IF(AND(S27&gt;0,ISNUMBER(G27)),S27*G27,0)</f>
        <v/>
      </c>
      <c r="V27" s="4">
        <f>IF(Minerio!H27="","",Minerio!H27)</f>
        <v/>
      </c>
    </row>
    <row r="28">
      <c r="A28" s="28" t="inlineStr">
        <is>
          <t>T8.3</t>
        </is>
      </c>
      <c r="B28" s="4" t="n">
        <v>8</v>
      </c>
      <c r="C28" s="4" t="n">
        <v>3</v>
      </c>
      <c r="D28" s="12">
        <f>2^B28*2^C28</f>
        <v/>
      </c>
      <c r="E28" s="4" t="n">
        <v>5</v>
      </c>
      <c r="F28" s="4" t="inlineStr">
        <is>
          <t>T7.3</t>
        </is>
      </c>
      <c r="G28" s="12">
        <f>IF(Minerio!G28="","",Minerio!G28*(1+TaxaCompra))</f>
        <v/>
      </c>
      <c r="H28" s="13">
        <f>IF(OR(G28="",L23=""),"",(E28*G28+L23)*(1-RetRefino)+D28*0.1125*FeeRefino/100)</f>
        <v/>
      </c>
      <c r="I28" s="12">
        <f>IF(Barras!G28="","",Barras!G28*(1+TaxaCompra))</f>
        <v/>
      </c>
      <c r="J28" s="4">
        <f>IF(Barras!H28="","",Barras!H28)</f>
        <v/>
      </c>
      <c r="K28" s="11" t="inlineStr">
        <is>
          <t>Automático</t>
        </is>
      </c>
      <c r="L28" s="29">
        <f>IF(K28="Comprar",I28,IF(K28="Refinar",H28,IF(AND(H28="",I28=""),"",IF(H28="",I28,IF(I28="",H28,MIN(H28,I28))))))</f>
        <v/>
      </c>
      <c r="M28" s="30">
        <f>IF(L28="","",IF(K28="Comprar","Comprar",IF(K28="Refinar","Refinar",IF(H28="","Comprar",IF(I28="","Refinar",IF(H28&lt;=I28,"Refinar","Comprar"))))))</f>
        <v/>
      </c>
      <c r="N28" s="31">
        <f>SUMIF(Craft!$C$6:$C$35,$A28,Craft!$S$6:$S$35)</f>
        <v/>
      </c>
      <c r="O28" s="31" t="n">
        <v>0</v>
      </c>
      <c r="P28" s="31">
        <f>N28+O28</f>
        <v/>
      </c>
      <c r="Q28" s="31">
        <f>IF(M28="Comprar",P28,0)</f>
        <v/>
      </c>
      <c r="R28" s="31">
        <f>IF(M28="Refinar",P28,0)</f>
        <v/>
      </c>
      <c r="S28" s="31">
        <f>R28*E28*(1-RetRefino)</f>
        <v/>
      </c>
      <c r="T28" s="12">
        <f>IF(AND(Q28&gt;0,ISNUMBER(I28)),Q28*I28,0)</f>
        <v/>
      </c>
      <c r="U28" s="12">
        <f>IF(AND(S28&gt;0,ISNUMBER(G28)),S28*G28,0)</f>
        <v/>
      </c>
      <c r="V28" s="4">
        <f>IF(Minerio!H28="","",Minerio!H28)</f>
        <v/>
      </c>
    </row>
    <row r="29">
      <c r="A29" s="28" t="inlineStr">
        <is>
          <t>T8.4</t>
        </is>
      </c>
      <c r="B29" s="4" t="n">
        <v>8</v>
      </c>
      <c r="C29" s="4" t="n">
        <v>4</v>
      </c>
      <c r="D29" s="12">
        <f>2^B29*2^C29</f>
        <v/>
      </c>
      <c r="E29" s="4" t="n">
        <v>5</v>
      </c>
      <c r="F29" s="4" t="inlineStr">
        <is>
          <t>T7.4</t>
        </is>
      </c>
      <c r="G29" s="12">
        <f>IF(Minerio!G29="","",Minerio!G29*(1+TaxaCompra))</f>
        <v/>
      </c>
      <c r="H29" s="13">
        <f>IF(OR(G29="",L24=""),"",(E29*G29+L24)*(1-RetRefino)+D29*0.1125*FeeRefino/100)</f>
        <v/>
      </c>
      <c r="I29" s="12">
        <f>IF(Barras!G29="","",Barras!G29*(1+TaxaCompra))</f>
        <v/>
      </c>
      <c r="J29" s="4">
        <f>IF(Barras!H29="","",Barras!H29)</f>
        <v/>
      </c>
      <c r="K29" s="11" t="inlineStr">
        <is>
          <t>Automático</t>
        </is>
      </c>
      <c r="L29" s="29">
        <f>IF(K29="Comprar",I29,IF(K29="Refinar",H29,IF(AND(H29="",I29=""),"",IF(H29="",I29,IF(I29="",H29,MIN(H29,I29))))))</f>
        <v/>
      </c>
      <c r="M29" s="30">
        <f>IF(L29="","",IF(K29="Comprar","Comprar",IF(K29="Refinar","Refinar",IF(H29="","Comprar",IF(I29="","Refinar",IF(H29&lt;=I29,"Refinar","Comprar"))))))</f>
        <v/>
      </c>
      <c r="N29" s="31">
        <f>SUMIF(Craft!$C$6:$C$35,$A29,Craft!$S$6:$S$35)</f>
        <v/>
      </c>
      <c r="O29" s="31" t="n">
        <v>0</v>
      </c>
      <c r="P29" s="31">
        <f>N29+O29</f>
        <v/>
      </c>
      <c r="Q29" s="31">
        <f>IF(M29="Comprar",P29,0)</f>
        <v/>
      </c>
      <c r="R29" s="31">
        <f>IF(M29="Refinar",P29,0)</f>
        <v/>
      </c>
      <c r="S29" s="31">
        <f>R29*E29*(1-RetRefino)</f>
        <v/>
      </c>
      <c r="T29" s="12">
        <f>IF(AND(Q29&gt;0,ISNUMBER(I29)),Q29*I29,0)</f>
        <v/>
      </c>
      <c r="U29" s="12">
        <f>IF(AND(S29&gt;0,ISNUMBER(G29)),S29*G29,0)</f>
        <v/>
      </c>
      <c r="V29" s="4">
        <f>IF(Minerio!H29="","",Minerio!H29)</f>
        <v/>
      </c>
    </row>
  </sheetData>
  <dataValidations count="1">
    <dataValidation sqref="K3:K29" showDropDown="0" showInputMessage="0" showErrorMessage="0" allowBlank="0" type="list">
      <formula1>"Automático,Comprar,Refinar"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Preço de compra do minério bruto (Iron Ore etc.)</t>
        </is>
      </c>
    </row>
    <row r="2" ht="30" customHeight="1">
      <c r="A2" s="3" t="inlineStr">
        <is>
          <t>Tier</t>
        </is>
      </c>
      <c r="B2" s="3" t="inlineStr">
        <is>
          <t>Thetford</t>
        </is>
      </c>
      <c r="C2" s="3" t="inlineStr">
        <is>
          <t>Martlock</t>
        </is>
      </c>
      <c r="D2" s="3" t="inlineStr">
        <is>
          <t>Bridgewatch</t>
        </is>
      </c>
      <c r="E2" s="3" t="inlineStr">
        <is>
          <t>Lymhurst</t>
        </is>
      </c>
      <c r="F2" s="3" t="inlineStr">
        <is>
          <t>Fort Sterling</t>
        </is>
      </c>
      <c r="G2" s="3" t="inlineStr">
        <is>
          <t>Menor preço</t>
        </is>
      </c>
      <c r="H2" s="3" t="inlineStr">
        <is>
          <t>Cidade mais barata</t>
        </is>
      </c>
    </row>
    <row r="3">
      <c r="A3" s="8" t="inlineStr">
        <is>
          <t>T2.0</t>
        </is>
      </c>
      <c r="B3" s="6" t="n"/>
      <c r="C3" s="6" t="n"/>
      <c r="D3" s="6" t="n"/>
      <c r="E3" s="6" t="n"/>
      <c r="F3" s="6" t="n"/>
      <c r="G3" s="32">
        <f>IF(COUNT(B3:F3)=0,"",MIN(B3:F3))</f>
        <v/>
      </c>
      <c r="H3" s="30">
        <f>IF(G3="","",INDEX($B$2:$F$2,MATCH(G3,B3:F3,0)))</f>
        <v/>
      </c>
    </row>
    <row r="4">
      <c r="A4" s="8" t="inlineStr">
        <is>
          <t>T3.0</t>
        </is>
      </c>
      <c r="B4" s="6" t="n"/>
      <c r="C4" s="6" t="n"/>
      <c r="D4" s="6" t="n"/>
      <c r="E4" s="6" t="n"/>
      <c r="F4" s="6" t="n"/>
      <c r="G4" s="32">
        <f>IF(COUNT(B4:F4)=0,"",MIN(B4:F4))</f>
        <v/>
      </c>
      <c r="H4" s="30">
        <f>IF(G4="","",INDEX($B$2:$F$2,MATCH(G4,B4:F4,0)))</f>
        <v/>
      </c>
    </row>
    <row r="5">
      <c r="A5" s="8" t="inlineStr">
        <is>
          <t>T4.0</t>
        </is>
      </c>
      <c r="B5" s="6" t="n">
        <v>155</v>
      </c>
      <c r="C5" s="6" t="n">
        <v>120</v>
      </c>
      <c r="D5" s="6" t="n">
        <v>350</v>
      </c>
      <c r="E5" s="6" t="n">
        <v>144</v>
      </c>
      <c r="F5" s="6" t="n">
        <v>140</v>
      </c>
      <c r="G5" s="32">
        <f>IF(COUNT(B5:F5)=0,"",MIN(B5:F5))</f>
        <v/>
      </c>
      <c r="H5" s="30">
        <f>IF(G5="","",INDEX($B$2:$F$2,MATCH(G5,B5:F5,0)))</f>
        <v/>
      </c>
    </row>
    <row r="6">
      <c r="A6" s="8" t="inlineStr">
        <is>
          <t>T4.1</t>
        </is>
      </c>
      <c r="B6" s="6" t="n">
        <v>198</v>
      </c>
      <c r="C6" s="6" t="n">
        <v>270</v>
      </c>
      <c r="D6" s="6" t="n">
        <v>968</v>
      </c>
      <c r="E6" s="6" t="n">
        <v>188</v>
      </c>
      <c r="F6" s="6" t="n">
        <v>216</v>
      </c>
      <c r="G6" s="32">
        <f>IF(COUNT(B6:F6)=0,"",MIN(B6:F6))</f>
        <v/>
      </c>
      <c r="H6" s="30">
        <f>IF(G6="","",INDEX($B$2:$F$2,MATCH(G6,B6:F6,0)))</f>
        <v/>
      </c>
    </row>
    <row r="7">
      <c r="A7" s="8" t="inlineStr">
        <is>
          <t>T4.2</t>
        </is>
      </c>
      <c r="B7" s="6" t="n">
        <v>830</v>
      </c>
      <c r="C7" s="6" t="n">
        <v>858</v>
      </c>
      <c r="D7" s="6" t="n"/>
      <c r="E7" s="6" t="n">
        <v>1041</v>
      </c>
      <c r="F7" s="6" t="n">
        <v>894</v>
      </c>
      <c r="G7" s="32">
        <f>IF(COUNT(B7:F7)=0,"",MIN(B7:F7))</f>
        <v/>
      </c>
      <c r="H7" s="30">
        <f>IF(G7="","",INDEX($B$2:$F$2,MATCH(G7,B7:F7,0)))</f>
        <v/>
      </c>
    </row>
    <row r="8">
      <c r="A8" s="8" t="inlineStr">
        <is>
          <t>T4.3</t>
        </is>
      </c>
      <c r="B8" s="6" t="n"/>
      <c r="C8" s="6" t="n"/>
      <c r="D8" s="6" t="n"/>
      <c r="E8" s="6" t="n"/>
      <c r="F8" s="6" t="n"/>
      <c r="G8" s="32">
        <f>IF(COUNT(B8:F8)=0,"",MIN(B8:F8))</f>
        <v/>
      </c>
      <c r="H8" s="30">
        <f>IF(G8="","",INDEX($B$2:$F$2,MATCH(G8,B8:F8,0)))</f>
        <v/>
      </c>
    </row>
    <row r="9">
      <c r="A9" s="8" t="inlineStr">
        <is>
          <t>T4.4</t>
        </is>
      </c>
      <c r="B9" s="6" t="n"/>
      <c r="C9" s="6" t="n"/>
      <c r="D9" s="6" t="n"/>
      <c r="E9" s="6" t="n"/>
      <c r="F9" s="6" t="n"/>
      <c r="G9" s="32">
        <f>IF(COUNT(B9:F9)=0,"",MIN(B9:F9))</f>
        <v/>
      </c>
      <c r="H9" s="30">
        <f>IF(G9="","",INDEX($B$2:$F$2,MATCH(G9,B9:F9,0)))</f>
        <v/>
      </c>
    </row>
    <row r="10">
      <c r="A10" s="8" t="inlineStr">
        <is>
          <t>T5.0</t>
        </is>
      </c>
      <c r="B10" s="6" t="n"/>
      <c r="C10" s="6" t="n">
        <v>300</v>
      </c>
      <c r="D10" s="6" t="n">
        <v>498</v>
      </c>
      <c r="E10" s="6" t="n">
        <v>595</v>
      </c>
      <c r="F10" s="6" t="n">
        <v>389</v>
      </c>
      <c r="G10" s="32">
        <f>IF(COUNT(B10:F10)=0,"",MIN(B10:F10))</f>
        <v/>
      </c>
      <c r="H10" s="30">
        <f>IF(G10="","",INDEX($B$2:$F$2,MATCH(G10,B10:F10,0)))</f>
        <v/>
      </c>
    </row>
    <row r="11">
      <c r="A11" s="8" t="inlineStr">
        <is>
          <t>T5.1</t>
        </is>
      </c>
      <c r="B11" s="6" t="n"/>
      <c r="C11" s="6" t="n">
        <v>563</v>
      </c>
      <c r="D11" s="6" t="n">
        <v>588</v>
      </c>
      <c r="E11" s="6" t="n">
        <v>611</v>
      </c>
      <c r="F11" s="6" t="n">
        <v>597</v>
      </c>
      <c r="G11" s="32">
        <f>IF(COUNT(B11:F11)=0,"",MIN(B11:F11))</f>
        <v/>
      </c>
      <c r="H11" s="30">
        <f>IF(G11="","",INDEX($B$2:$F$2,MATCH(G11,B11:F11,0)))</f>
        <v/>
      </c>
    </row>
    <row r="12">
      <c r="A12" s="8" t="inlineStr">
        <is>
          <t>T5.2</t>
        </is>
      </c>
      <c r="B12" s="6" t="n">
        <v>1679</v>
      </c>
      <c r="C12" s="6" t="n">
        <v>1883</v>
      </c>
      <c r="D12" s="6" t="n"/>
      <c r="E12" s="6" t="n"/>
      <c r="F12" s="6" t="n">
        <v>3788</v>
      </c>
      <c r="G12" s="32">
        <f>IF(COUNT(B12:F12)=0,"",MIN(B12:F12))</f>
        <v/>
      </c>
      <c r="H12" s="30">
        <f>IF(G12="","",INDEX($B$2:$F$2,MATCH(G12,B12:F12,0)))</f>
        <v/>
      </c>
    </row>
    <row r="13">
      <c r="A13" s="8" t="inlineStr">
        <is>
          <t>T5.3</t>
        </is>
      </c>
      <c r="B13" s="6" t="n"/>
      <c r="C13" s="6" t="n"/>
      <c r="D13" s="6" t="n"/>
      <c r="E13" s="6" t="n"/>
      <c r="F13" s="6" t="n"/>
      <c r="G13" s="32">
        <f>IF(COUNT(B13:F13)=0,"",MIN(B13:F13))</f>
        <v/>
      </c>
      <c r="H13" s="30">
        <f>IF(G13="","",INDEX($B$2:$F$2,MATCH(G13,B13:F13,0)))</f>
        <v/>
      </c>
    </row>
    <row r="14">
      <c r="A14" s="8" t="inlineStr">
        <is>
          <t>T5.4</t>
        </is>
      </c>
      <c r="B14" s="6" t="n"/>
      <c r="C14" s="6" t="n"/>
      <c r="D14" s="6" t="n"/>
      <c r="E14" s="6" t="n"/>
      <c r="F14" s="6" t="n"/>
      <c r="G14" s="32">
        <f>IF(COUNT(B14:F14)=0,"",MIN(B14:F14))</f>
        <v/>
      </c>
      <c r="H14" s="30">
        <f>IF(G14="","",INDEX($B$2:$F$2,MATCH(G14,B14:F14,0)))</f>
        <v/>
      </c>
    </row>
    <row r="15">
      <c r="A15" s="8" t="inlineStr">
        <is>
          <t>T6.0</t>
        </is>
      </c>
      <c r="B15" s="6" t="n"/>
      <c r="C15" s="6" t="n"/>
      <c r="D15" s="6" t="n"/>
      <c r="E15" s="6" t="n"/>
      <c r="F15" s="6" t="n"/>
      <c r="G15" s="32">
        <f>IF(COUNT(B15:F15)=0,"",MIN(B15:F15))</f>
        <v/>
      </c>
      <c r="H15" s="30">
        <f>IF(G15="","",INDEX($B$2:$F$2,MATCH(G15,B15:F15,0)))</f>
        <v/>
      </c>
    </row>
    <row r="16">
      <c r="A16" s="8" t="inlineStr">
        <is>
          <t>T6.1</t>
        </is>
      </c>
      <c r="B16" s="6" t="n"/>
      <c r="C16" s="6" t="n"/>
      <c r="D16" s="6" t="n"/>
      <c r="E16" s="6" t="n"/>
      <c r="F16" s="6" t="n"/>
      <c r="G16" s="32">
        <f>IF(COUNT(B16:F16)=0,"",MIN(B16:F16))</f>
        <v/>
      </c>
      <c r="H16" s="30">
        <f>IF(G16="","",INDEX($B$2:$F$2,MATCH(G16,B16:F16,0)))</f>
        <v/>
      </c>
    </row>
    <row r="17">
      <c r="A17" s="8" t="inlineStr">
        <is>
          <t>T6.2</t>
        </is>
      </c>
      <c r="B17" s="6" t="n"/>
      <c r="C17" s="6" t="n"/>
      <c r="D17" s="6" t="n"/>
      <c r="E17" s="6" t="n"/>
      <c r="F17" s="6" t="n"/>
      <c r="G17" s="32">
        <f>IF(COUNT(B17:F17)=0,"",MIN(B17:F17))</f>
        <v/>
      </c>
      <c r="H17" s="30">
        <f>IF(G17="","",INDEX($B$2:$F$2,MATCH(G17,B17:F17,0)))</f>
        <v/>
      </c>
    </row>
    <row r="18">
      <c r="A18" s="8" t="inlineStr">
        <is>
          <t>T6.3</t>
        </is>
      </c>
      <c r="B18" s="6" t="n"/>
      <c r="C18" s="6" t="n"/>
      <c r="D18" s="6" t="n"/>
      <c r="E18" s="6" t="n"/>
      <c r="F18" s="6" t="n"/>
      <c r="G18" s="32">
        <f>IF(COUNT(B18:F18)=0,"",MIN(B18:F18))</f>
        <v/>
      </c>
      <c r="H18" s="30">
        <f>IF(G18="","",INDEX($B$2:$F$2,MATCH(G18,B18:F18,0)))</f>
        <v/>
      </c>
    </row>
    <row r="19">
      <c r="A19" s="8" t="inlineStr">
        <is>
          <t>T6.4</t>
        </is>
      </c>
      <c r="B19" s="6" t="n"/>
      <c r="C19" s="6" t="n"/>
      <c r="D19" s="6" t="n"/>
      <c r="E19" s="6" t="n"/>
      <c r="F19" s="6" t="n"/>
      <c r="G19" s="32">
        <f>IF(COUNT(B19:F19)=0,"",MIN(B19:F19))</f>
        <v/>
      </c>
      <c r="H19" s="30">
        <f>IF(G19="","",INDEX($B$2:$F$2,MATCH(G19,B19:F19,0)))</f>
        <v/>
      </c>
    </row>
    <row r="20">
      <c r="A20" s="8" t="inlineStr">
        <is>
          <t>T7.0</t>
        </is>
      </c>
      <c r="B20" s="6" t="n"/>
      <c r="C20" s="6" t="n"/>
      <c r="D20" s="6" t="n"/>
      <c r="E20" s="6" t="n"/>
      <c r="F20" s="6" t="n"/>
      <c r="G20" s="32">
        <f>IF(COUNT(B20:F20)=0,"",MIN(B20:F20))</f>
        <v/>
      </c>
      <c r="H20" s="30">
        <f>IF(G20="","",INDEX($B$2:$F$2,MATCH(G20,B20:F20,0)))</f>
        <v/>
      </c>
    </row>
    <row r="21">
      <c r="A21" s="8" t="inlineStr">
        <is>
          <t>T7.1</t>
        </is>
      </c>
      <c r="B21" s="6" t="n"/>
      <c r="C21" s="6" t="n"/>
      <c r="D21" s="6" t="n"/>
      <c r="E21" s="6" t="n"/>
      <c r="F21" s="6" t="n"/>
      <c r="G21" s="32">
        <f>IF(COUNT(B21:F21)=0,"",MIN(B21:F21))</f>
        <v/>
      </c>
      <c r="H21" s="30">
        <f>IF(G21="","",INDEX($B$2:$F$2,MATCH(G21,B21:F21,0)))</f>
        <v/>
      </c>
    </row>
    <row r="22">
      <c r="A22" s="8" t="inlineStr">
        <is>
          <t>T7.2</t>
        </is>
      </c>
      <c r="B22" s="6" t="n"/>
      <c r="C22" s="6" t="n"/>
      <c r="D22" s="6" t="n"/>
      <c r="E22" s="6" t="n"/>
      <c r="F22" s="6" t="n"/>
      <c r="G22" s="32">
        <f>IF(COUNT(B22:F22)=0,"",MIN(B22:F22))</f>
        <v/>
      </c>
      <c r="H22" s="30">
        <f>IF(G22="","",INDEX($B$2:$F$2,MATCH(G22,B22:F22,0)))</f>
        <v/>
      </c>
    </row>
    <row r="23">
      <c r="A23" s="8" t="inlineStr">
        <is>
          <t>T7.3</t>
        </is>
      </c>
      <c r="B23" s="6" t="n"/>
      <c r="C23" s="6" t="n"/>
      <c r="D23" s="6" t="n"/>
      <c r="E23" s="6" t="n"/>
      <c r="F23" s="6" t="n"/>
      <c r="G23" s="32">
        <f>IF(COUNT(B23:F23)=0,"",MIN(B23:F23))</f>
        <v/>
      </c>
      <c r="H23" s="30">
        <f>IF(G23="","",INDEX($B$2:$F$2,MATCH(G23,B23:F23,0)))</f>
        <v/>
      </c>
    </row>
    <row r="24">
      <c r="A24" s="8" t="inlineStr">
        <is>
          <t>T7.4</t>
        </is>
      </c>
      <c r="B24" s="6" t="n"/>
      <c r="C24" s="6" t="n"/>
      <c r="D24" s="6" t="n"/>
      <c r="E24" s="6" t="n"/>
      <c r="F24" s="6" t="n"/>
      <c r="G24" s="32">
        <f>IF(COUNT(B24:F24)=0,"",MIN(B24:F24))</f>
        <v/>
      </c>
      <c r="H24" s="30">
        <f>IF(G24="","",INDEX($B$2:$F$2,MATCH(G24,B24:F24,0)))</f>
        <v/>
      </c>
    </row>
    <row r="25">
      <c r="A25" s="8" t="inlineStr">
        <is>
          <t>T8.0</t>
        </is>
      </c>
      <c r="B25" s="6" t="n"/>
      <c r="C25" s="6" t="n"/>
      <c r="D25" s="6" t="n"/>
      <c r="E25" s="6" t="n"/>
      <c r="F25" s="6" t="n"/>
      <c r="G25" s="32">
        <f>IF(COUNT(B25:F25)=0,"",MIN(B25:F25))</f>
        <v/>
      </c>
      <c r="H25" s="30">
        <f>IF(G25="","",INDEX($B$2:$F$2,MATCH(G25,B25:F25,0)))</f>
        <v/>
      </c>
    </row>
    <row r="26">
      <c r="A26" s="8" t="inlineStr">
        <is>
          <t>T8.1</t>
        </is>
      </c>
      <c r="B26" s="6" t="n"/>
      <c r="C26" s="6" t="n"/>
      <c r="D26" s="6" t="n"/>
      <c r="E26" s="6" t="n"/>
      <c r="F26" s="6" t="n"/>
      <c r="G26" s="32">
        <f>IF(COUNT(B26:F26)=0,"",MIN(B26:F26))</f>
        <v/>
      </c>
      <c r="H26" s="30">
        <f>IF(G26="","",INDEX($B$2:$F$2,MATCH(G26,B26:F26,0)))</f>
        <v/>
      </c>
    </row>
    <row r="27">
      <c r="A27" s="8" t="inlineStr">
        <is>
          <t>T8.2</t>
        </is>
      </c>
      <c r="B27" s="6" t="n"/>
      <c r="C27" s="6" t="n"/>
      <c r="D27" s="6" t="n"/>
      <c r="E27" s="6" t="n"/>
      <c r="F27" s="6" t="n"/>
      <c r="G27" s="32">
        <f>IF(COUNT(B27:F27)=0,"",MIN(B27:F27))</f>
        <v/>
      </c>
      <c r="H27" s="30">
        <f>IF(G27="","",INDEX($B$2:$F$2,MATCH(G27,B27:F27,0)))</f>
        <v/>
      </c>
    </row>
    <row r="28">
      <c r="A28" s="8" t="inlineStr">
        <is>
          <t>T8.3</t>
        </is>
      </c>
      <c r="B28" s="6" t="n"/>
      <c r="C28" s="6" t="n"/>
      <c r="D28" s="6" t="n"/>
      <c r="E28" s="6" t="n"/>
      <c r="F28" s="6" t="n"/>
      <c r="G28" s="32">
        <f>IF(COUNT(B28:F28)=0,"",MIN(B28:F28))</f>
        <v/>
      </c>
      <c r="H28" s="30">
        <f>IF(G28="","",INDEX($B$2:$F$2,MATCH(G28,B28:F28,0)))</f>
        <v/>
      </c>
    </row>
    <row r="29">
      <c r="A29" s="8" t="inlineStr">
        <is>
          <t>T8.4</t>
        </is>
      </c>
      <c r="B29" s="6" t="n"/>
      <c r="C29" s="6" t="n"/>
      <c r="D29" s="6" t="n"/>
      <c r="E29" s="6" t="n"/>
      <c r="F29" s="6" t="n"/>
      <c r="G29" s="32">
        <f>IF(COUNT(B29:F29)=0,"",MIN(B29:F29))</f>
        <v/>
      </c>
      <c r="H29" s="30">
        <f>IF(G29="","",INDEX($B$2:$F$2,MATCH(G29,B29:F29,0)))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Preço de compra das barras de metal prontas (Metal Bar)</t>
        </is>
      </c>
    </row>
    <row r="2" ht="30" customHeight="1">
      <c r="A2" s="3" t="inlineStr">
        <is>
          <t>Tier</t>
        </is>
      </c>
      <c r="B2" s="3" t="inlineStr">
        <is>
          <t>Thetford</t>
        </is>
      </c>
      <c r="C2" s="3" t="inlineStr">
        <is>
          <t>Martlock</t>
        </is>
      </c>
      <c r="D2" s="3" t="inlineStr">
        <is>
          <t>Bridgewatch</t>
        </is>
      </c>
      <c r="E2" s="3" t="inlineStr">
        <is>
          <t>Lymhurst</t>
        </is>
      </c>
      <c r="F2" s="3" t="inlineStr">
        <is>
          <t>Fort Sterling</t>
        </is>
      </c>
      <c r="G2" s="3" t="inlineStr">
        <is>
          <t>Menor preço</t>
        </is>
      </c>
      <c r="H2" s="3" t="inlineStr">
        <is>
          <t>Cidade mais barata</t>
        </is>
      </c>
    </row>
    <row r="3">
      <c r="A3" s="8" t="inlineStr">
        <is>
          <t>T2.0</t>
        </is>
      </c>
      <c r="B3" s="6" t="n"/>
      <c r="C3" s="6" t="n"/>
      <c r="D3" s="6" t="n"/>
      <c r="E3" s="6" t="n"/>
      <c r="F3" s="6" t="n"/>
      <c r="G3" s="32">
        <f>IF(COUNT(B3:F3)=0,"",MIN(B3:F3))</f>
        <v/>
      </c>
      <c r="H3" s="30">
        <f>IF(G3="","",INDEX($B$2:$F$2,MATCH(G3,B3:F3,0)))</f>
        <v/>
      </c>
    </row>
    <row r="4">
      <c r="A4" s="8" t="inlineStr">
        <is>
          <t>T3.0</t>
        </is>
      </c>
      <c r="B4" s="6" t="n">
        <v>232</v>
      </c>
      <c r="C4" s="6" t="n">
        <v>253</v>
      </c>
      <c r="D4" s="6" t="n">
        <v>246</v>
      </c>
      <c r="E4" s="6" t="n">
        <v>207</v>
      </c>
      <c r="F4" s="6" t="n">
        <v>207</v>
      </c>
      <c r="G4" s="32">
        <f>IF(COUNT(B4:F4)=0,"",MIN(B4:F4))</f>
        <v/>
      </c>
      <c r="H4" s="30">
        <f>IF(G4="","",INDEX($B$2:$F$2,MATCH(G4,B4:F4,0)))</f>
        <v/>
      </c>
    </row>
    <row r="5">
      <c r="A5" s="8" t="inlineStr">
        <is>
          <t>T4.0</t>
        </is>
      </c>
      <c r="B5" s="6" t="n">
        <v>275</v>
      </c>
      <c r="C5" s="6" t="n">
        <v>322</v>
      </c>
      <c r="D5" s="6" t="n">
        <v>384</v>
      </c>
      <c r="E5" s="6" t="n">
        <v>285</v>
      </c>
      <c r="F5" s="6" t="n">
        <v>237</v>
      </c>
      <c r="G5" s="32">
        <f>IF(COUNT(B5:F5)=0,"",MIN(B5:F5))</f>
        <v/>
      </c>
      <c r="H5" s="30">
        <f>IF(G5="","",INDEX($B$2:$F$2,MATCH(G5,B5:F5,0)))</f>
        <v/>
      </c>
    </row>
    <row r="6">
      <c r="A6" s="8" t="inlineStr">
        <is>
          <t>T4.1</t>
        </is>
      </c>
      <c r="B6" s="6" t="n">
        <v>347</v>
      </c>
      <c r="C6" s="6" t="n">
        <v>382</v>
      </c>
      <c r="D6" s="6" t="n">
        <v>407</v>
      </c>
      <c r="E6" s="6" t="n">
        <v>360</v>
      </c>
      <c r="F6" s="6" t="n">
        <v>380</v>
      </c>
      <c r="G6" s="32">
        <f>IF(COUNT(B6:F6)=0,"",MIN(B6:F6))</f>
        <v/>
      </c>
      <c r="H6" s="30">
        <f>IF(G6="","",INDEX($B$2:$F$2,MATCH(G6,B6:F6,0)))</f>
        <v/>
      </c>
    </row>
    <row r="7">
      <c r="A7" s="8" t="inlineStr">
        <is>
          <t>T4.2</t>
        </is>
      </c>
      <c r="B7" s="6" t="n">
        <v>1449</v>
      </c>
      <c r="C7" s="6" t="n">
        <v>1627</v>
      </c>
      <c r="D7" s="6" t="n"/>
      <c r="E7" s="6" t="n">
        <v>1336</v>
      </c>
      <c r="F7" s="6" t="n">
        <v>1461</v>
      </c>
      <c r="G7" s="32">
        <f>IF(COUNT(B7:F7)=0,"",MIN(B7:F7))</f>
        <v/>
      </c>
      <c r="H7" s="30">
        <f>IF(G7="","",INDEX($B$2:$F$2,MATCH(G7,B7:F7,0)))</f>
        <v/>
      </c>
    </row>
    <row r="8">
      <c r="A8" s="8" t="inlineStr">
        <is>
          <t>T4.3</t>
        </is>
      </c>
      <c r="B8" s="6" t="n"/>
      <c r="C8" s="6" t="n"/>
      <c r="D8" s="6" t="n"/>
      <c r="E8" s="6" t="n"/>
      <c r="F8" s="6" t="n"/>
      <c r="G8" s="32">
        <f>IF(COUNT(B8:F8)=0,"",MIN(B8:F8))</f>
        <v/>
      </c>
      <c r="H8" s="30">
        <f>IF(G8="","",INDEX($B$2:$F$2,MATCH(G8,B8:F8,0)))</f>
        <v/>
      </c>
    </row>
    <row r="9">
      <c r="A9" s="8" t="inlineStr">
        <is>
          <t>T4.4</t>
        </is>
      </c>
      <c r="B9" s="6" t="n"/>
      <c r="C9" s="6" t="n"/>
      <c r="D9" s="6" t="n"/>
      <c r="E9" s="6" t="n"/>
      <c r="F9" s="6" t="n"/>
      <c r="G9" s="32">
        <f>IF(COUNT(B9:F9)=0,"",MIN(B9:F9))</f>
        <v/>
      </c>
      <c r="H9" s="30">
        <f>IF(G9="","",INDEX($B$2:$F$2,MATCH(G9,B9:F9,0)))</f>
        <v/>
      </c>
    </row>
    <row r="10">
      <c r="A10" s="8" t="inlineStr">
        <is>
          <t>T5.0</t>
        </is>
      </c>
      <c r="B10" s="6" t="n"/>
      <c r="C10" s="6" t="n"/>
      <c r="D10" s="6" t="n"/>
      <c r="E10" s="6" t="n"/>
      <c r="F10" s="6" t="n"/>
      <c r="G10" s="32">
        <f>IF(COUNT(B10:F10)=0,"",MIN(B10:F10))</f>
        <v/>
      </c>
      <c r="H10" s="30">
        <f>IF(G10="","",INDEX($B$2:$F$2,MATCH(G10,B10:F10,0)))</f>
        <v/>
      </c>
    </row>
    <row r="11">
      <c r="A11" s="8" t="inlineStr">
        <is>
          <t>T5.1</t>
        </is>
      </c>
      <c r="B11" s="6" t="n"/>
      <c r="C11" s="6" t="n"/>
      <c r="D11" s="6" t="n"/>
      <c r="E11" s="6" t="n"/>
      <c r="F11" s="6" t="n"/>
      <c r="G11" s="32">
        <f>IF(COUNT(B11:F11)=0,"",MIN(B11:F11))</f>
        <v/>
      </c>
      <c r="H11" s="30">
        <f>IF(G11="","",INDEX($B$2:$F$2,MATCH(G11,B11:F11,0)))</f>
        <v/>
      </c>
    </row>
    <row r="12">
      <c r="A12" s="8" t="inlineStr">
        <is>
          <t>T5.2</t>
        </is>
      </c>
      <c r="B12" s="6" t="n"/>
      <c r="C12" s="6" t="n"/>
      <c r="D12" s="6" t="n"/>
      <c r="E12" s="6" t="n"/>
      <c r="F12" s="6" t="n"/>
      <c r="G12" s="32">
        <f>IF(COUNT(B12:F12)=0,"",MIN(B12:F12))</f>
        <v/>
      </c>
      <c r="H12" s="30">
        <f>IF(G12="","",INDEX($B$2:$F$2,MATCH(G12,B12:F12,0)))</f>
        <v/>
      </c>
    </row>
    <row r="13">
      <c r="A13" s="8" t="inlineStr">
        <is>
          <t>T5.3</t>
        </is>
      </c>
      <c r="B13" s="6" t="n"/>
      <c r="C13" s="6" t="n"/>
      <c r="D13" s="6" t="n"/>
      <c r="E13" s="6" t="n"/>
      <c r="F13" s="6" t="n"/>
      <c r="G13" s="32">
        <f>IF(COUNT(B13:F13)=0,"",MIN(B13:F13))</f>
        <v/>
      </c>
      <c r="H13" s="30">
        <f>IF(G13="","",INDEX($B$2:$F$2,MATCH(G13,B13:F13,0)))</f>
        <v/>
      </c>
    </row>
    <row r="14">
      <c r="A14" s="8" t="inlineStr">
        <is>
          <t>T5.4</t>
        </is>
      </c>
      <c r="B14" s="6" t="n"/>
      <c r="C14" s="6" t="n"/>
      <c r="D14" s="6" t="n"/>
      <c r="E14" s="6" t="n"/>
      <c r="F14" s="6" t="n"/>
      <c r="G14" s="32">
        <f>IF(COUNT(B14:F14)=0,"",MIN(B14:F14))</f>
        <v/>
      </c>
      <c r="H14" s="30">
        <f>IF(G14="","",INDEX($B$2:$F$2,MATCH(G14,B14:F14,0)))</f>
        <v/>
      </c>
    </row>
    <row r="15">
      <c r="A15" s="8" t="inlineStr">
        <is>
          <t>T6.0</t>
        </is>
      </c>
      <c r="B15" s="6" t="n"/>
      <c r="C15" s="6" t="n"/>
      <c r="D15" s="6" t="n"/>
      <c r="E15" s="6" t="n"/>
      <c r="F15" s="6" t="n"/>
      <c r="G15" s="32">
        <f>IF(COUNT(B15:F15)=0,"",MIN(B15:F15))</f>
        <v/>
      </c>
      <c r="H15" s="30">
        <f>IF(G15="","",INDEX($B$2:$F$2,MATCH(G15,B15:F15,0)))</f>
        <v/>
      </c>
    </row>
    <row r="16">
      <c r="A16" s="8" t="inlineStr">
        <is>
          <t>T6.1</t>
        </is>
      </c>
      <c r="B16" s="6" t="n"/>
      <c r="C16" s="6" t="n"/>
      <c r="D16" s="6" t="n"/>
      <c r="E16" s="6" t="n"/>
      <c r="F16" s="6" t="n"/>
      <c r="G16" s="32">
        <f>IF(COUNT(B16:F16)=0,"",MIN(B16:F16))</f>
        <v/>
      </c>
      <c r="H16" s="30">
        <f>IF(G16="","",INDEX($B$2:$F$2,MATCH(G16,B16:F16,0)))</f>
        <v/>
      </c>
    </row>
    <row r="17">
      <c r="A17" s="8" t="inlineStr">
        <is>
          <t>T6.2</t>
        </is>
      </c>
      <c r="B17" s="6" t="n"/>
      <c r="C17" s="6" t="n"/>
      <c r="D17" s="6" t="n"/>
      <c r="E17" s="6" t="n"/>
      <c r="F17" s="6" t="n"/>
      <c r="G17" s="32">
        <f>IF(COUNT(B17:F17)=0,"",MIN(B17:F17))</f>
        <v/>
      </c>
      <c r="H17" s="30">
        <f>IF(G17="","",INDEX($B$2:$F$2,MATCH(G17,B17:F17,0)))</f>
        <v/>
      </c>
    </row>
    <row r="18">
      <c r="A18" s="8" t="inlineStr">
        <is>
          <t>T6.3</t>
        </is>
      </c>
      <c r="B18" s="6" t="n"/>
      <c r="C18" s="6" t="n"/>
      <c r="D18" s="6" t="n"/>
      <c r="E18" s="6" t="n"/>
      <c r="F18" s="6" t="n"/>
      <c r="G18" s="32">
        <f>IF(COUNT(B18:F18)=0,"",MIN(B18:F18))</f>
        <v/>
      </c>
      <c r="H18" s="30">
        <f>IF(G18="","",INDEX($B$2:$F$2,MATCH(G18,B18:F18,0)))</f>
        <v/>
      </c>
    </row>
    <row r="19">
      <c r="A19" s="8" t="inlineStr">
        <is>
          <t>T6.4</t>
        </is>
      </c>
      <c r="B19" s="6" t="n"/>
      <c r="C19" s="6" t="n"/>
      <c r="D19" s="6" t="n"/>
      <c r="E19" s="6" t="n"/>
      <c r="F19" s="6" t="n"/>
      <c r="G19" s="32">
        <f>IF(COUNT(B19:F19)=0,"",MIN(B19:F19))</f>
        <v/>
      </c>
      <c r="H19" s="30">
        <f>IF(G19="","",INDEX($B$2:$F$2,MATCH(G19,B19:F19,0)))</f>
        <v/>
      </c>
    </row>
    <row r="20">
      <c r="A20" s="8" t="inlineStr">
        <is>
          <t>T7.0</t>
        </is>
      </c>
      <c r="B20" s="6" t="n"/>
      <c r="C20" s="6" t="n"/>
      <c r="D20" s="6" t="n"/>
      <c r="E20" s="6" t="n"/>
      <c r="F20" s="6" t="n"/>
      <c r="G20" s="32">
        <f>IF(COUNT(B20:F20)=0,"",MIN(B20:F20))</f>
        <v/>
      </c>
      <c r="H20" s="30">
        <f>IF(G20="","",INDEX($B$2:$F$2,MATCH(G20,B20:F20,0)))</f>
        <v/>
      </c>
    </row>
    <row r="21">
      <c r="A21" s="8" t="inlineStr">
        <is>
          <t>T7.1</t>
        </is>
      </c>
      <c r="B21" s="6" t="n"/>
      <c r="C21" s="6" t="n"/>
      <c r="D21" s="6" t="n"/>
      <c r="E21" s="6" t="n"/>
      <c r="F21" s="6" t="n"/>
      <c r="G21" s="32">
        <f>IF(COUNT(B21:F21)=0,"",MIN(B21:F21))</f>
        <v/>
      </c>
      <c r="H21" s="30">
        <f>IF(G21="","",INDEX($B$2:$F$2,MATCH(G21,B21:F21,0)))</f>
        <v/>
      </c>
    </row>
    <row r="22">
      <c r="A22" s="8" t="inlineStr">
        <is>
          <t>T7.2</t>
        </is>
      </c>
      <c r="B22" s="6" t="n"/>
      <c r="C22" s="6" t="n"/>
      <c r="D22" s="6" t="n"/>
      <c r="E22" s="6" t="n"/>
      <c r="F22" s="6" t="n"/>
      <c r="G22" s="32">
        <f>IF(COUNT(B22:F22)=0,"",MIN(B22:F22))</f>
        <v/>
      </c>
      <c r="H22" s="30">
        <f>IF(G22="","",INDEX($B$2:$F$2,MATCH(G22,B22:F22,0)))</f>
        <v/>
      </c>
    </row>
    <row r="23">
      <c r="A23" s="8" t="inlineStr">
        <is>
          <t>T7.3</t>
        </is>
      </c>
      <c r="B23" s="6" t="n"/>
      <c r="C23" s="6" t="n"/>
      <c r="D23" s="6" t="n"/>
      <c r="E23" s="6" t="n"/>
      <c r="F23" s="6" t="n"/>
      <c r="G23" s="32">
        <f>IF(COUNT(B23:F23)=0,"",MIN(B23:F23))</f>
        <v/>
      </c>
      <c r="H23" s="30">
        <f>IF(G23="","",INDEX($B$2:$F$2,MATCH(G23,B23:F23,0)))</f>
        <v/>
      </c>
    </row>
    <row r="24">
      <c r="A24" s="8" t="inlineStr">
        <is>
          <t>T7.4</t>
        </is>
      </c>
      <c r="B24" s="6" t="n"/>
      <c r="C24" s="6" t="n"/>
      <c r="D24" s="6" t="n"/>
      <c r="E24" s="6" t="n"/>
      <c r="F24" s="6" t="n"/>
      <c r="G24" s="32">
        <f>IF(COUNT(B24:F24)=0,"",MIN(B24:F24))</f>
        <v/>
      </c>
      <c r="H24" s="30">
        <f>IF(G24="","",INDEX($B$2:$F$2,MATCH(G24,B24:F24,0)))</f>
        <v/>
      </c>
    </row>
    <row r="25">
      <c r="A25" s="8" t="inlineStr">
        <is>
          <t>T8.0</t>
        </is>
      </c>
      <c r="B25" s="6" t="n"/>
      <c r="C25" s="6" t="n"/>
      <c r="D25" s="6" t="n"/>
      <c r="E25" s="6" t="n"/>
      <c r="F25" s="6" t="n"/>
      <c r="G25" s="32">
        <f>IF(COUNT(B25:F25)=0,"",MIN(B25:F25))</f>
        <v/>
      </c>
      <c r="H25" s="30">
        <f>IF(G25="","",INDEX($B$2:$F$2,MATCH(G25,B25:F25,0)))</f>
        <v/>
      </c>
    </row>
    <row r="26">
      <c r="A26" s="8" t="inlineStr">
        <is>
          <t>T8.1</t>
        </is>
      </c>
      <c r="B26" s="6" t="n"/>
      <c r="C26" s="6" t="n"/>
      <c r="D26" s="6" t="n"/>
      <c r="E26" s="6" t="n"/>
      <c r="F26" s="6" t="n"/>
      <c r="G26" s="32">
        <f>IF(COUNT(B26:F26)=0,"",MIN(B26:F26))</f>
        <v/>
      </c>
      <c r="H26" s="30">
        <f>IF(G26="","",INDEX($B$2:$F$2,MATCH(G26,B26:F26,0)))</f>
        <v/>
      </c>
    </row>
    <row r="27">
      <c r="A27" s="8" t="inlineStr">
        <is>
          <t>T8.2</t>
        </is>
      </c>
      <c r="B27" s="6" t="n"/>
      <c r="C27" s="6" t="n"/>
      <c r="D27" s="6" t="n"/>
      <c r="E27" s="6" t="n"/>
      <c r="F27" s="6" t="n"/>
      <c r="G27" s="32">
        <f>IF(COUNT(B27:F27)=0,"",MIN(B27:F27))</f>
        <v/>
      </c>
      <c r="H27" s="30">
        <f>IF(G27="","",INDEX($B$2:$F$2,MATCH(G27,B27:F27,0)))</f>
        <v/>
      </c>
    </row>
    <row r="28">
      <c r="A28" s="8" t="inlineStr">
        <is>
          <t>T8.3</t>
        </is>
      </c>
      <c r="B28" s="6" t="n"/>
      <c r="C28" s="6" t="n"/>
      <c r="D28" s="6" t="n"/>
      <c r="E28" s="6" t="n"/>
      <c r="F28" s="6" t="n"/>
      <c r="G28" s="32">
        <f>IF(COUNT(B28:F28)=0,"",MIN(B28:F28))</f>
        <v/>
      </c>
      <c r="H28" s="30">
        <f>IF(G28="","",INDEX($B$2:$F$2,MATCH(G28,B28:F28,0)))</f>
        <v/>
      </c>
    </row>
    <row r="29">
      <c r="A29" s="8" t="inlineStr">
        <is>
          <t>T8.4</t>
        </is>
      </c>
      <c r="B29" s="6" t="n"/>
      <c r="C29" s="6" t="n"/>
      <c r="D29" s="6" t="n"/>
      <c r="E29" s="6" t="n"/>
      <c r="F29" s="6" t="n"/>
      <c r="G29" s="32">
        <f>IF(COUNT(B29:F29)=0,"",MIN(B29:F29))</f>
        <v/>
      </c>
      <c r="H29" s="30">
        <f>IF(G29="","",INDEX($B$2:$F$2,MATCH(G29,B29:F29,0)))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7" customWidth="1" min="4" max="4"/>
    <col width="28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9" customWidth="1" min="13" max="13"/>
  </cols>
  <sheetData>
    <row r="1">
      <c r="A1" s="1" t="inlineStr">
        <is>
          <t>Preço de compra dos artefatos (1 por peça craftada - não retorna no craft)</t>
        </is>
      </c>
    </row>
    <row r="2" ht="30" customHeight="1">
      <c r="A2" s="3" t="inlineStr">
        <is>
          <t>Chave</t>
        </is>
      </c>
      <c r="B2" s="3" t="inlineStr">
        <is>
          <t>Variante</t>
        </is>
      </c>
      <c r="C2" s="3" t="inlineStr">
        <is>
          <t>Peça</t>
        </is>
      </c>
      <c r="D2" s="3" t="inlineStr">
        <is>
          <t>Tier</t>
        </is>
      </c>
      <c r="E2" s="3" t="inlineStr">
        <is>
          <t>Artefato</t>
        </is>
      </c>
      <c r="F2" s="3" t="inlineStr">
        <is>
          <t>Valor do item</t>
        </is>
      </c>
      <c r="G2" s="3" t="inlineStr">
        <is>
          <t>Thetford</t>
        </is>
      </c>
      <c r="H2" s="3" t="inlineStr">
        <is>
          <t>Martlock</t>
        </is>
      </c>
      <c r="I2" s="3" t="inlineStr">
        <is>
          <t>Bridgewatch</t>
        </is>
      </c>
      <c r="J2" s="3" t="inlineStr">
        <is>
          <t>Lymhurst</t>
        </is>
      </c>
      <c r="K2" s="3" t="inlineStr">
        <is>
          <t>Fort Sterling</t>
        </is>
      </c>
      <c r="L2" s="3" t="inlineStr">
        <is>
          <t>Menor preço</t>
        </is>
      </c>
      <c r="M2" s="3" t="inlineStr">
        <is>
          <t>Cidade mais barata</t>
        </is>
      </c>
    </row>
    <row r="3">
      <c r="A3" t="inlineStr">
        <is>
          <t>Graveguard|Armadura|T4</t>
        </is>
      </c>
      <c r="B3" t="inlineStr">
        <is>
          <t>Graveguard</t>
        </is>
      </c>
      <c r="C3" t="inlineStr">
        <is>
          <t>Armadura</t>
        </is>
      </c>
      <c r="D3" t="inlineStr">
        <is>
          <t>T4</t>
        </is>
      </c>
      <c r="E3" t="inlineStr">
        <is>
          <t>Ancient Chain Rings</t>
        </is>
      </c>
      <c r="F3" s="25" t="n">
        <v>64</v>
      </c>
      <c r="G3" s="6" t="n"/>
      <c r="H3" s="6" t="n"/>
      <c r="I3" s="6" t="n"/>
      <c r="J3" s="6" t="n"/>
      <c r="K3" s="6" t="n"/>
      <c r="L3" s="32">
        <f>IF(COUNT(G3:K3)=0,"",MIN(G3:K3))</f>
        <v/>
      </c>
      <c r="M3" s="30">
        <f>IF(L3="","",INDEX($G$2:$K$2,MATCH(L3,G3:K3,0)))</f>
        <v/>
      </c>
    </row>
    <row r="4">
      <c r="A4" t="inlineStr">
        <is>
          <t>Graveguard|Armadura|T5</t>
        </is>
      </c>
      <c r="B4" t="inlineStr">
        <is>
          <t>Graveguard</t>
        </is>
      </c>
      <c r="C4" t="inlineStr">
        <is>
          <t>Armadura</t>
        </is>
      </c>
      <c r="D4" t="inlineStr">
        <is>
          <t>T5</t>
        </is>
      </c>
      <c r="E4" t="inlineStr">
        <is>
          <t>Ancient Chain Rings</t>
        </is>
      </c>
      <c r="F4" s="25" t="n">
        <v>128</v>
      </c>
      <c r="G4" s="6" t="n"/>
      <c r="H4" s="6" t="n"/>
      <c r="I4" s="6" t="n"/>
      <c r="J4" s="6" t="n"/>
      <c r="K4" s="6" t="n"/>
      <c r="L4" s="32">
        <f>IF(COUNT(G4:K4)=0,"",MIN(G4:K4))</f>
        <v/>
      </c>
      <c r="M4" s="30">
        <f>IF(L4="","",INDEX($G$2:$K$2,MATCH(L4,G4:K4,0)))</f>
        <v/>
      </c>
    </row>
    <row r="5">
      <c r="A5" t="inlineStr">
        <is>
          <t>Graveguard|Armadura|T6</t>
        </is>
      </c>
      <c r="B5" t="inlineStr">
        <is>
          <t>Graveguard</t>
        </is>
      </c>
      <c r="C5" t="inlineStr">
        <is>
          <t>Armadura</t>
        </is>
      </c>
      <c r="D5" t="inlineStr">
        <is>
          <t>T6</t>
        </is>
      </c>
      <c r="E5" t="inlineStr">
        <is>
          <t>Ancient Chain Rings</t>
        </is>
      </c>
      <c r="F5" s="25" t="n">
        <v>256</v>
      </c>
      <c r="G5" s="6" t="n"/>
      <c r="H5" s="6" t="n"/>
      <c r="I5" s="6" t="n"/>
      <c r="J5" s="6" t="n"/>
      <c r="K5" s="6" t="n"/>
      <c r="L5" s="32">
        <f>IF(COUNT(G5:K5)=0,"",MIN(G5:K5))</f>
        <v/>
      </c>
      <c r="M5" s="30">
        <f>IF(L5="","",INDEX($G$2:$K$2,MATCH(L5,G5:K5,0)))</f>
        <v/>
      </c>
    </row>
    <row r="6">
      <c r="A6" t="inlineStr">
        <is>
          <t>Graveguard|Armadura|T7</t>
        </is>
      </c>
      <c r="B6" t="inlineStr">
        <is>
          <t>Graveguard</t>
        </is>
      </c>
      <c r="C6" t="inlineStr">
        <is>
          <t>Armadura</t>
        </is>
      </c>
      <c r="D6" t="inlineStr">
        <is>
          <t>T7</t>
        </is>
      </c>
      <c r="E6" t="inlineStr">
        <is>
          <t>Ancient Chain Rings</t>
        </is>
      </c>
      <c r="F6" s="25" t="n">
        <v>512</v>
      </c>
      <c r="G6" s="6" t="n"/>
      <c r="H6" s="6" t="n"/>
      <c r="I6" s="6" t="n"/>
      <c r="J6" s="6" t="n"/>
      <c r="K6" s="6" t="n"/>
      <c r="L6" s="32">
        <f>IF(COUNT(G6:K6)=0,"",MIN(G6:K6))</f>
        <v/>
      </c>
      <c r="M6" s="30">
        <f>IF(L6="","",INDEX($G$2:$K$2,MATCH(L6,G6:K6,0)))</f>
        <v/>
      </c>
    </row>
    <row r="7">
      <c r="A7" t="inlineStr">
        <is>
          <t>Graveguard|Armadura|T8</t>
        </is>
      </c>
      <c r="B7" t="inlineStr">
        <is>
          <t>Graveguard</t>
        </is>
      </c>
      <c r="C7" t="inlineStr">
        <is>
          <t>Armadura</t>
        </is>
      </c>
      <c r="D7" t="inlineStr">
        <is>
          <t>T8</t>
        </is>
      </c>
      <c r="E7" t="inlineStr">
        <is>
          <t>Ancient Chain Rings</t>
        </is>
      </c>
      <c r="F7" s="25" t="n">
        <v>1024</v>
      </c>
      <c r="G7" s="6" t="n"/>
      <c r="H7" s="6" t="n"/>
      <c r="I7" s="6" t="n"/>
      <c r="J7" s="6" t="n"/>
      <c r="K7" s="6" t="n"/>
      <c r="L7" s="32">
        <f>IF(COUNT(G7:K7)=0,"",MIN(G7:K7))</f>
        <v/>
      </c>
      <c r="M7" s="30">
        <f>IF(L7="","",INDEX($G$2:$K$2,MATCH(L7,G7:K7,0)))</f>
        <v/>
      </c>
    </row>
    <row r="8">
      <c r="A8" t="inlineStr">
        <is>
          <t>Graveguard|Elmo|T4</t>
        </is>
      </c>
      <c r="B8" t="inlineStr">
        <is>
          <t>Graveguard</t>
        </is>
      </c>
      <c r="C8" t="inlineStr">
        <is>
          <t>Elmo</t>
        </is>
      </c>
      <c r="D8" t="inlineStr">
        <is>
          <t>T4</t>
        </is>
      </c>
      <c r="E8" t="inlineStr">
        <is>
          <t>Ancient Padding</t>
        </is>
      </c>
      <c r="F8" s="25" t="n">
        <v>32</v>
      </c>
      <c r="G8" s="6" t="n"/>
      <c r="H8" s="6" t="n"/>
      <c r="I8" s="6" t="n"/>
      <c r="J8" s="6" t="n"/>
      <c r="K8" s="6" t="n"/>
      <c r="L8" s="32">
        <f>IF(COUNT(G8:K8)=0,"",MIN(G8:K8))</f>
        <v/>
      </c>
      <c r="M8" s="30">
        <f>IF(L8="","",INDEX($G$2:$K$2,MATCH(L8,G8:K8,0)))</f>
        <v/>
      </c>
    </row>
    <row r="9">
      <c r="A9" t="inlineStr">
        <is>
          <t>Graveguard|Elmo|T5</t>
        </is>
      </c>
      <c r="B9" t="inlineStr">
        <is>
          <t>Graveguard</t>
        </is>
      </c>
      <c r="C9" t="inlineStr">
        <is>
          <t>Elmo</t>
        </is>
      </c>
      <c r="D9" t="inlineStr">
        <is>
          <t>T5</t>
        </is>
      </c>
      <c r="E9" t="inlineStr">
        <is>
          <t>Ancient Padding</t>
        </is>
      </c>
      <c r="F9" s="25" t="n">
        <v>64</v>
      </c>
      <c r="G9" s="6" t="n"/>
      <c r="H9" s="6" t="n"/>
      <c r="I9" s="6" t="n"/>
      <c r="J9" s="6" t="n"/>
      <c r="K9" s="6" t="n"/>
      <c r="L9" s="32">
        <f>IF(COUNT(G9:K9)=0,"",MIN(G9:K9))</f>
        <v/>
      </c>
      <c r="M9" s="30">
        <f>IF(L9="","",INDEX($G$2:$K$2,MATCH(L9,G9:K9,0)))</f>
        <v/>
      </c>
    </row>
    <row r="10">
      <c r="A10" t="inlineStr">
        <is>
          <t>Graveguard|Elmo|T6</t>
        </is>
      </c>
      <c r="B10" t="inlineStr">
        <is>
          <t>Graveguard</t>
        </is>
      </c>
      <c r="C10" t="inlineStr">
        <is>
          <t>Elmo</t>
        </is>
      </c>
      <c r="D10" t="inlineStr">
        <is>
          <t>T6</t>
        </is>
      </c>
      <c r="E10" t="inlineStr">
        <is>
          <t>Ancient Padding</t>
        </is>
      </c>
      <c r="F10" s="25" t="n">
        <v>128</v>
      </c>
      <c r="G10" s="6" t="n"/>
      <c r="H10" s="6" t="n"/>
      <c r="I10" s="6" t="n"/>
      <c r="J10" s="6" t="n"/>
      <c r="K10" s="6" t="n"/>
      <c r="L10" s="32">
        <f>IF(COUNT(G10:K10)=0,"",MIN(G10:K10))</f>
        <v/>
      </c>
      <c r="M10" s="30">
        <f>IF(L10="","",INDEX($G$2:$K$2,MATCH(L10,G10:K10,0)))</f>
        <v/>
      </c>
    </row>
    <row r="11">
      <c r="A11" t="inlineStr">
        <is>
          <t>Graveguard|Elmo|T7</t>
        </is>
      </c>
      <c r="B11" t="inlineStr">
        <is>
          <t>Graveguard</t>
        </is>
      </c>
      <c r="C11" t="inlineStr">
        <is>
          <t>Elmo</t>
        </is>
      </c>
      <c r="D11" t="inlineStr">
        <is>
          <t>T7</t>
        </is>
      </c>
      <c r="E11" t="inlineStr">
        <is>
          <t>Ancient Padding</t>
        </is>
      </c>
      <c r="F11" s="25" t="n">
        <v>256</v>
      </c>
      <c r="G11" s="6" t="n"/>
      <c r="H11" s="6" t="n"/>
      <c r="I11" s="6" t="n"/>
      <c r="J11" s="6" t="n"/>
      <c r="K11" s="6" t="n"/>
      <c r="L11" s="32">
        <f>IF(COUNT(G11:K11)=0,"",MIN(G11:K11))</f>
        <v/>
      </c>
      <c r="M11" s="30">
        <f>IF(L11="","",INDEX($G$2:$K$2,MATCH(L11,G11:K11,0)))</f>
        <v/>
      </c>
    </row>
    <row r="12">
      <c r="A12" t="inlineStr">
        <is>
          <t>Graveguard|Elmo|T8</t>
        </is>
      </c>
      <c r="B12" t="inlineStr">
        <is>
          <t>Graveguard</t>
        </is>
      </c>
      <c r="C12" t="inlineStr">
        <is>
          <t>Elmo</t>
        </is>
      </c>
      <c r="D12" t="inlineStr">
        <is>
          <t>T8</t>
        </is>
      </c>
      <c r="E12" t="inlineStr">
        <is>
          <t>Ancient Padding</t>
        </is>
      </c>
      <c r="F12" s="25" t="n">
        <v>512</v>
      </c>
      <c r="G12" s="6" t="n"/>
      <c r="H12" s="6" t="n"/>
      <c r="I12" s="6" t="n"/>
      <c r="J12" s="6" t="n"/>
      <c r="K12" s="6" t="n"/>
      <c r="L12" s="32">
        <f>IF(COUNT(G12:K12)=0,"",MIN(G12:K12))</f>
        <v/>
      </c>
      <c r="M12" s="30">
        <f>IF(L12="","",INDEX($G$2:$K$2,MATCH(L12,G12:K12,0)))</f>
        <v/>
      </c>
    </row>
    <row r="13">
      <c r="A13" t="inlineStr">
        <is>
          <t>Graveguard|Botas|T4</t>
        </is>
      </c>
      <c r="B13" t="inlineStr">
        <is>
          <t>Graveguard</t>
        </is>
      </c>
      <c r="C13" t="inlineStr">
        <is>
          <t>Botas</t>
        </is>
      </c>
      <c r="D13" t="inlineStr">
        <is>
          <t>T4</t>
        </is>
      </c>
      <c r="E13" t="inlineStr">
        <is>
          <t>Ancient Bindings</t>
        </is>
      </c>
      <c r="F13" s="25" t="n">
        <v>32</v>
      </c>
      <c r="G13" s="6" t="n"/>
      <c r="H13" s="6" t="n"/>
      <c r="I13" s="6" t="n"/>
      <c r="J13" s="6" t="n"/>
      <c r="K13" s="6" t="n"/>
      <c r="L13" s="32">
        <f>IF(COUNT(G13:K13)=0,"",MIN(G13:K13))</f>
        <v/>
      </c>
      <c r="M13" s="30">
        <f>IF(L13="","",INDEX($G$2:$K$2,MATCH(L13,G13:K13,0)))</f>
        <v/>
      </c>
    </row>
    <row r="14">
      <c r="A14" t="inlineStr">
        <is>
          <t>Graveguard|Botas|T5</t>
        </is>
      </c>
      <c r="B14" t="inlineStr">
        <is>
          <t>Graveguard</t>
        </is>
      </c>
      <c r="C14" t="inlineStr">
        <is>
          <t>Botas</t>
        </is>
      </c>
      <c r="D14" t="inlineStr">
        <is>
          <t>T5</t>
        </is>
      </c>
      <c r="E14" t="inlineStr">
        <is>
          <t>Ancient Bindings</t>
        </is>
      </c>
      <c r="F14" s="25" t="n">
        <v>64</v>
      </c>
      <c r="G14" s="6" t="n"/>
      <c r="H14" s="6" t="n"/>
      <c r="I14" s="6" t="n"/>
      <c r="J14" s="6" t="n"/>
      <c r="K14" s="6" t="n"/>
      <c r="L14" s="32">
        <f>IF(COUNT(G14:K14)=0,"",MIN(G14:K14))</f>
        <v/>
      </c>
      <c r="M14" s="30">
        <f>IF(L14="","",INDEX($G$2:$K$2,MATCH(L14,G14:K14,0)))</f>
        <v/>
      </c>
    </row>
    <row r="15">
      <c r="A15" t="inlineStr">
        <is>
          <t>Graveguard|Botas|T6</t>
        </is>
      </c>
      <c r="B15" t="inlineStr">
        <is>
          <t>Graveguard</t>
        </is>
      </c>
      <c r="C15" t="inlineStr">
        <is>
          <t>Botas</t>
        </is>
      </c>
      <c r="D15" t="inlineStr">
        <is>
          <t>T6</t>
        </is>
      </c>
      <c r="E15" t="inlineStr">
        <is>
          <t>Ancient Bindings</t>
        </is>
      </c>
      <c r="F15" s="25" t="n">
        <v>128</v>
      </c>
      <c r="G15" s="6" t="n"/>
      <c r="H15" s="6" t="n"/>
      <c r="I15" s="6" t="n"/>
      <c r="J15" s="6" t="n"/>
      <c r="K15" s="6" t="n"/>
      <c r="L15" s="32">
        <f>IF(COUNT(G15:K15)=0,"",MIN(G15:K15))</f>
        <v/>
      </c>
      <c r="M15" s="30">
        <f>IF(L15="","",INDEX($G$2:$K$2,MATCH(L15,G15:K15,0)))</f>
        <v/>
      </c>
    </row>
    <row r="16">
      <c r="A16" t="inlineStr">
        <is>
          <t>Graveguard|Botas|T7</t>
        </is>
      </c>
      <c r="B16" t="inlineStr">
        <is>
          <t>Graveguard</t>
        </is>
      </c>
      <c r="C16" t="inlineStr">
        <is>
          <t>Botas</t>
        </is>
      </c>
      <c r="D16" t="inlineStr">
        <is>
          <t>T7</t>
        </is>
      </c>
      <c r="E16" t="inlineStr">
        <is>
          <t>Ancient Bindings</t>
        </is>
      </c>
      <c r="F16" s="25" t="n">
        <v>256</v>
      </c>
      <c r="G16" s="6" t="n"/>
      <c r="H16" s="6" t="n"/>
      <c r="I16" s="6" t="n"/>
      <c r="J16" s="6" t="n"/>
      <c r="K16" s="6" t="n"/>
      <c r="L16" s="32">
        <f>IF(COUNT(G16:K16)=0,"",MIN(G16:K16))</f>
        <v/>
      </c>
      <c r="M16" s="30">
        <f>IF(L16="","",INDEX($G$2:$K$2,MATCH(L16,G16:K16,0)))</f>
        <v/>
      </c>
    </row>
    <row r="17">
      <c r="A17" t="inlineStr">
        <is>
          <t>Graveguard|Botas|T8</t>
        </is>
      </c>
      <c r="B17" t="inlineStr">
        <is>
          <t>Graveguard</t>
        </is>
      </c>
      <c r="C17" t="inlineStr">
        <is>
          <t>Botas</t>
        </is>
      </c>
      <c r="D17" t="inlineStr">
        <is>
          <t>T8</t>
        </is>
      </c>
      <c r="E17" t="inlineStr">
        <is>
          <t>Ancient Bindings</t>
        </is>
      </c>
      <c r="F17" s="25" t="n">
        <v>512</v>
      </c>
      <c r="G17" s="6" t="n"/>
      <c r="H17" s="6" t="n"/>
      <c r="I17" s="6" t="n"/>
      <c r="J17" s="6" t="n"/>
      <c r="K17" s="6" t="n"/>
      <c r="L17" s="32">
        <f>IF(COUNT(G17:K17)=0,"",MIN(G17:K17))</f>
        <v/>
      </c>
      <c r="M17" s="30">
        <f>IF(L17="","",INDEX($G$2:$K$2,MATCH(L17,G17:K17,0)))</f>
        <v/>
      </c>
    </row>
    <row r="18">
      <c r="A18" t="inlineStr">
        <is>
          <t>Demônio (Demon)|Armadura|T4</t>
        </is>
      </c>
      <c r="B18" t="inlineStr">
        <is>
          <t>Demônio (Demon)</t>
        </is>
      </c>
      <c r="C18" t="inlineStr">
        <is>
          <t>Armadura</t>
        </is>
      </c>
      <c r="D18" t="inlineStr">
        <is>
          <t>T4</t>
        </is>
      </c>
      <c r="E18" t="inlineStr">
        <is>
          <t>Demonic Plates</t>
        </is>
      </c>
      <c r="F18" s="25" t="n">
        <v>192</v>
      </c>
      <c r="G18" s="6" t="n"/>
      <c r="H18" s="6" t="n"/>
      <c r="I18" s="6" t="n"/>
      <c r="J18" s="6" t="n"/>
      <c r="K18" s="6" t="n"/>
      <c r="L18" s="32">
        <f>IF(COUNT(G18:K18)=0,"",MIN(G18:K18))</f>
        <v/>
      </c>
      <c r="M18" s="30">
        <f>IF(L18="","",INDEX($G$2:$K$2,MATCH(L18,G18:K18,0)))</f>
        <v/>
      </c>
    </row>
    <row r="19">
      <c r="A19" t="inlineStr">
        <is>
          <t>Demônio (Demon)|Armadura|T5</t>
        </is>
      </c>
      <c r="B19" t="inlineStr">
        <is>
          <t>Demônio (Demon)</t>
        </is>
      </c>
      <c r="C19" t="inlineStr">
        <is>
          <t>Armadura</t>
        </is>
      </c>
      <c r="D19" t="inlineStr">
        <is>
          <t>T5</t>
        </is>
      </c>
      <c r="E19" t="inlineStr">
        <is>
          <t>Demonic Plates</t>
        </is>
      </c>
      <c r="F19" s="25" t="n">
        <v>384</v>
      </c>
      <c r="G19" s="6" t="n"/>
      <c r="H19" s="6" t="n"/>
      <c r="I19" s="6" t="n"/>
      <c r="J19" s="6" t="n"/>
      <c r="K19" s="6" t="n"/>
      <c r="L19" s="32">
        <f>IF(COUNT(G19:K19)=0,"",MIN(G19:K19))</f>
        <v/>
      </c>
      <c r="M19" s="30">
        <f>IF(L19="","",INDEX($G$2:$K$2,MATCH(L19,G19:K19,0)))</f>
        <v/>
      </c>
    </row>
    <row r="20">
      <c r="A20" t="inlineStr">
        <is>
          <t>Demônio (Demon)|Armadura|T6</t>
        </is>
      </c>
      <c r="B20" t="inlineStr">
        <is>
          <t>Demônio (Demon)</t>
        </is>
      </c>
      <c r="C20" t="inlineStr">
        <is>
          <t>Armadura</t>
        </is>
      </c>
      <c r="D20" t="inlineStr">
        <is>
          <t>T6</t>
        </is>
      </c>
      <c r="E20" t="inlineStr">
        <is>
          <t>Demonic Plates</t>
        </is>
      </c>
      <c r="F20" s="25" t="n">
        <v>768</v>
      </c>
      <c r="G20" s="6" t="n"/>
      <c r="H20" s="6" t="n"/>
      <c r="I20" s="6" t="n"/>
      <c r="J20" s="6" t="n"/>
      <c r="K20" s="6" t="n"/>
      <c r="L20" s="32">
        <f>IF(COUNT(G20:K20)=0,"",MIN(G20:K20))</f>
        <v/>
      </c>
      <c r="M20" s="30">
        <f>IF(L20="","",INDEX($G$2:$K$2,MATCH(L20,G20:K20,0)))</f>
        <v/>
      </c>
    </row>
    <row r="21">
      <c r="A21" t="inlineStr">
        <is>
          <t>Demônio (Demon)|Armadura|T7</t>
        </is>
      </c>
      <c r="B21" t="inlineStr">
        <is>
          <t>Demônio (Demon)</t>
        </is>
      </c>
      <c r="C21" t="inlineStr">
        <is>
          <t>Armadura</t>
        </is>
      </c>
      <c r="D21" t="inlineStr">
        <is>
          <t>T7</t>
        </is>
      </c>
      <c r="E21" t="inlineStr">
        <is>
          <t>Demonic Plates</t>
        </is>
      </c>
      <c r="F21" s="25" t="n">
        <v>1536</v>
      </c>
      <c r="G21" s="6" t="n"/>
      <c r="H21" s="6" t="n"/>
      <c r="I21" s="6" t="n"/>
      <c r="J21" s="6" t="n"/>
      <c r="K21" s="6" t="n"/>
      <c r="L21" s="32">
        <f>IF(COUNT(G21:K21)=0,"",MIN(G21:K21))</f>
        <v/>
      </c>
      <c r="M21" s="30">
        <f>IF(L21="","",INDEX($G$2:$K$2,MATCH(L21,G21:K21,0)))</f>
        <v/>
      </c>
    </row>
    <row r="22">
      <c r="A22" t="inlineStr">
        <is>
          <t>Demônio (Demon)|Armadura|T8</t>
        </is>
      </c>
      <c r="B22" t="inlineStr">
        <is>
          <t>Demônio (Demon)</t>
        </is>
      </c>
      <c r="C22" t="inlineStr">
        <is>
          <t>Armadura</t>
        </is>
      </c>
      <c r="D22" t="inlineStr">
        <is>
          <t>T8</t>
        </is>
      </c>
      <c r="E22" t="inlineStr">
        <is>
          <t>Demonic Plates</t>
        </is>
      </c>
      <c r="F22" s="25" t="n">
        <v>3072</v>
      </c>
      <c r="G22" s="6" t="n"/>
      <c r="H22" s="6" t="n"/>
      <c r="I22" s="6" t="n"/>
      <c r="J22" s="6" t="n"/>
      <c r="K22" s="6" t="n"/>
      <c r="L22" s="32">
        <f>IF(COUNT(G22:K22)=0,"",MIN(G22:K22))</f>
        <v/>
      </c>
      <c r="M22" s="30">
        <f>IF(L22="","",INDEX($G$2:$K$2,MATCH(L22,G22:K22,0)))</f>
        <v/>
      </c>
    </row>
    <row r="23">
      <c r="A23" t="inlineStr">
        <is>
          <t>Demônio (Demon)|Elmo|T4</t>
        </is>
      </c>
      <c r="B23" t="inlineStr">
        <is>
          <t>Demônio (Demon)</t>
        </is>
      </c>
      <c r="C23" t="inlineStr">
        <is>
          <t>Elmo</t>
        </is>
      </c>
      <c r="D23" t="inlineStr">
        <is>
          <t>T4</t>
        </is>
      </c>
      <c r="E23" t="inlineStr">
        <is>
          <t>Demonic Scraps</t>
        </is>
      </c>
      <c r="F23" s="25" t="n">
        <v>96</v>
      </c>
      <c r="G23" s="6" t="n"/>
      <c r="H23" s="6" t="n"/>
      <c r="I23" s="6" t="n"/>
      <c r="J23" s="6" t="n"/>
      <c r="K23" s="6" t="n"/>
      <c r="L23" s="32">
        <f>IF(COUNT(G23:K23)=0,"",MIN(G23:K23))</f>
        <v/>
      </c>
      <c r="M23" s="30">
        <f>IF(L23="","",INDEX($G$2:$K$2,MATCH(L23,G23:K23,0)))</f>
        <v/>
      </c>
    </row>
    <row r="24">
      <c r="A24" t="inlineStr">
        <is>
          <t>Demônio (Demon)|Elmo|T5</t>
        </is>
      </c>
      <c r="B24" t="inlineStr">
        <is>
          <t>Demônio (Demon)</t>
        </is>
      </c>
      <c r="C24" t="inlineStr">
        <is>
          <t>Elmo</t>
        </is>
      </c>
      <c r="D24" t="inlineStr">
        <is>
          <t>T5</t>
        </is>
      </c>
      <c r="E24" t="inlineStr">
        <is>
          <t>Demonic Scraps</t>
        </is>
      </c>
      <c r="F24" s="25" t="n">
        <v>192</v>
      </c>
      <c r="G24" s="6" t="n"/>
      <c r="H24" s="6" t="n"/>
      <c r="I24" s="6" t="n"/>
      <c r="J24" s="6" t="n"/>
      <c r="K24" s="6" t="n"/>
      <c r="L24" s="32">
        <f>IF(COUNT(G24:K24)=0,"",MIN(G24:K24))</f>
        <v/>
      </c>
      <c r="M24" s="30">
        <f>IF(L24="","",INDEX($G$2:$K$2,MATCH(L24,G24:K24,0)))</f>
        <v/>
      </c>
    </row>
    <row r="25">
      <c r="A25" t="inlineStr">
        <is>
          <t>Demônio (Demon)|Elmo|T6</t>
        </is>
      </c>
      <c r="B25" t="inlineStr">
        <is>
          <t>Demônio (Demon)</t>
        </is>
      </c>
      <c r="C25" t="inlineStr">
        <is>
          <t>Elmo</t>
        </is>
      </c>
      <c r="D25" t="inlineStr">
        <is>
          <t>T6</t>
        </is>
      </c>
      <c r="E25" t="inlineStr">
        <is>
          <t>Demonic Scraps</t>
        </is>
      </c>
      <c r="F25" s="25" t="n">
        <v>384</v>
      </c>
      <c r="G25" s="6" t="n"/>
      <c r="H25" s="6" t="n"/>
      <c r="I25" s="6" t="n"/>
      <c r="J25" s="6" t="n"/>
      <c r="K25" s="6" t="n"/>
      <c r="L25" s="32">
        <f>IF(COUNT(G25:K25)=0,"",MIN(G25:K25))</f>
        <v/>
      </c>
      <c r="M25" s="30">
        <f>IF(L25="","",INDEX($G$2:$K$2,MATCH(L25,G25:K25,0)))</f>
        <v/>
      </c>
    </row>
    <row r="26">
      <c r="A26" t="inlineStr">
        <is>
          <t>Demônio (Demon)|Elmo|T7</t>
        </is>
      </c>
      <c r="B26" t="inlineStr">
        <is>
          <t>Demônio (Demon)</t>
        </is>
      </c>
      <c r="C26" t="inlineStr">
        <is>
          <t>Elmo</t>
        </is>
      </c>
      <c r="D26" t="inlineStr">
        <is>
          <t>T7</t>
        </is>
      </c>
      <c r="E26" t="inlineStr">
        <is>
          <t>Demonic Scraps</t>
        </is>
      </c>
      <c r="F26" s="25" t="n">
        <v>768</v>
      </c>
      <c r="G26" s="6" t="n"/>
      <c r="H26" s="6" t="n"/>
      <c r="I26" s="6" t="n"/>
      <c r="J26" s="6" t="n"/>
      <c r="K26" s="6" t="n"/>
      <c r="L26" s="32">
        <f>IF(COUNT(G26:K26)=0,"",MIN(G26:K26))</f>
        <v/>
      </c>
      <c r="M26" s="30">
        <f>IF(L26="","",INDEX($G$2:$K$2,MATCH(L26,G26:K26,0)))</f>
        <v/>
      </c>
    </row>
    <row r="27">
      <c r="A27" t="inlineStr">
        <is>
          <t>Demônio (Demon)|Elmo|T8</t>
        </is>
      </c>
      <c r="B27" t="inlineStr">
        <is>
          <t>Demônio (Demon)</t>
        </is>
      </c>
      <c r="C27" t="inlineStr">
        <is>
          <t>Elmo</t>
        </is>
      </c>
      <c r="D27" t="inlineStr">
        <is>
          <t>T8</t>
        </is>
      </c>
      <c r="E27" t="inlineStr">
        <is>
          <t>Demonic Scraps</t>
        </is>
      </c>
      <c r="F27" s="25" t="n">
        <v>1536</v>
      </c>
      <c r="G27" s="6" t="n"/>
      <c r="H27" s="6" t="n"/>
      <c r="I27" s="6" t="n"/>
      <c r="J27" s="6" t="n"/>
      <c r="K27" s="6" t="n"/>
      <c r="L27" s="32">
        <f>IF(COUNT(G27:K27)=0,"",MIN(G27:K27))</f>
        <v/>
      </c>
      <c r="M27" s="30">
        <f>IF(L27="","",INDEX($G$2:$K$2,MATCH(L27,G27:K27,0)))</f>
        <v/>
      </c>
    </row>
    <row r="28">
      <c r="A28" t="inlineStr">
        <is>
          <t>Demônio (Demon)|Botas|T4</t>
        </is>
      </c>
      <c r="B28" t="inlineStr">
        <is>
          <t>Demônio (Demon)</t>
        </is>
      </c>
      <c r="C28" t="inlineStr">
        <is>
          <t>Botas</t>
        </is>
      </c>
      <c r="D28" t="inlineStr">
        <is>
          <t>T4</t>
        </is>
      </c>
      <c r="E28" t="inlineStr">
        <is>
          <t>Demonic Filling</t>
        </is>
      </c>
      <c r="F28" s="25" t="n">
        <v>96</v>
      </c>
      <c r="G28" s="6" t="n"/>
      <c r="H28" s="6" t="n"/>
      <c r="I28" s="6" t="n"/>
      <c r="J28" s="6" t="n"/>
      <c r="K28" s="6" t="n"/>
      <c r="L28" s="32">
        <f>IF(COUNT(G28:K28)=0,"",MIN(G28:K28))</f>
        <v/>
      </c>
      <c r="M28" s="30">
        <f>IF(L28="","",INDEX($G$2:$K$2,MATCH(L28,G28:K28,0)))</f>
        <v/>
      </c>
    </row>
    <row r="29">
      <c r="A29" t="inlineStr">
        <is>
          <t>Demônio (Demon)|Botas|T5</t>
        </is>
      </c>
      <c r="B29" t="inlineStr">
        <is>
          <t>Demônio (Demon)</t>
        </is>
      </c>
      <c r="C29" t="inlineStr">
        <is>
          <t>Botas</t>
        </is>
      </c>
      <c r="D29" t="inlineStr">
        <is>
          <t>T5</t>
        </is>
      </c>
      <c r="E29" t="inlineStr">
        <is>
          <t>Demonic Filling</t>
        </is>
      </c>
      <c r="F29" s="25" t="n">
        <v>192</v>
      </c>
      <c r="G29" s="6" t="n"/>
      <c r="H29" s="6" t="n"/>
      <c r="I29" s="6" t="n"/>
      <c r="J29" s="6" t="n"/>
      <c r="K29" s="6" t="n"/>
      <c r="L29" s="32">
        <f>IF(COUNT(G29:K29)=0,"",MIN(G29:K29))</f>
        <v/>
      </c>
      <c r="M29" s="30">
        <f>IF(L29="","",INDEX($G$2:$K$2,MATCH(L29,G29:K29,0)))</f>
        <v/>
      </c>
    </row>
    <row r="30">
      <c r="A30" t="inlineStr">
        <is>
          <t>Demônio (Demon)|Botas|T6</t>
        </is>
      </c>
      <c r="B30" t="inlineStr">
        <is>
          <t>Demônio (Demon)</t>
        </is>
      </c>
      <c r="C30" t="inlineStr">
        <is>
          <t>Botas</t>
        </is>
      </c>
      <c r="D30" t="inlineStr">
        <is>
          <t>T6</t>
        </is>
      </c>
      <c r="E30" t="inlineStr">
        <is>
          <t>Demonic Filling</t>
        </is>
      </c>
      <c r="F30" s="25" t="n">
        <v>384</v>
      </c>
      <c r="G30" s="6" t="n"/>
      <c r="H30" s="6" t="n"/>
      <c r="I30" s="6" t="n"/>
      <c r="J30" s="6" t="n"/>
      <c r="K30" s="6" t="n"/>
      <c r="L30" s="32">
        <f>IF(COUNT(G30:K30)=0,"",MIN(G30:K30))</f>
        <v/>
      </c>
      <c r="M30" s="30">
        <f>IF(L30="","",INDEX($G$2:$K$2,MATCH(L30,G30:K30,0)))</f>
        <v/>
      </c>
    </row>
    <row r="31">
      <c r="A31" t="inlineStr">
        <is>
          <t>Demônio (Demon)|Botas|T7</t>
        </is>
      </c>
      <c r="B31" t="inlineStr">
        <is>
          <t>Demônio (Demon)</t>
        </is>
      </c>
      <c r="C31" t="inlineStr">
        <is>
          <t>Botas</t>
        </is>
      </c>
      <c r="D31" t="inlineStr">
        <is>
          <t>T7</t>
        </is>
      </c>
      <c r="E31" t="inlineStr">
        <is>
          <t>Demonic Filling</t>
        </is>
      </c>
      <c r="F31" s="25" t="n">
        <v>768</v>
      </c>
      <c r="G31" s="6" t="n"/>
      <c r="H31" s="6" t="n"/>
      <c r="I31" s="6" t="n"/>
      <c r="J31" s="6" t="n"/>
      <c r="K31" s="6" t="n"/>
      <c r="L31" s="32">
        <f>IF(COUNT(G31:K31)=0,"",MIN(G31:K31))</f>
        <v/>
      </c>
      <c r="M31" s="30">
        <f>IF(L31="","",INDEX($G$2:$K$2,MATCH(L31,G31:K31,0)))</f>
        <v/>
      </c>
    </row>
    <row r="32">
      <c r="A32" t="inlineStr">
        <is>
          <t>Demônio (Demon)|Botas|T8</t>
        </is>
      </c>
      <c r="B32" t="inlineStr">
        <is>
          <t>Demônio (Demon)</t>
        </is>
      </c>
      <c r="C32" t="inlineStr">
        <is>
          <t>Botas</t>
        </is>
      </c>
      <c r="D32" t="inlineStr">
        <is>
          <t>T8</t>
        </is>
      </c>
      <c r="E32" t="inlineStr">
        <is>
          <t>Demonic Filling</t>
        </is>
      </c>
      <c r="F32" s="25" t="n">
        <v>1536</v>
      </c>
      <c r="G32" s="6" t="n"/>
      <c r="H32" s="6" t="n"/>
      <c r="I32" s="6" t="n"/>
      <c r="J32" s="6" t="n"/>
      <c r="K32" s="6" t="n"/>
      <c r="L32" s="32">
        <f>IF(COUNT(G32:K32)=0,"",MIN(G32:K32))</f>
        <v/>
      </c>
      <c r="M32" s="30">
        <f>IF(L32="","",INDEX($G$2:$K$2,MATCH(L32,G32:K32,0)))</f>
        <v/>
      </c>
    </row>
    <row r="33">
      <c r="A33" t="inlineStr">
        <is>
          <t>Juiz (Judicator)|Armadura|T4</t>
        </is>
      </c>
      <c r="B33" t="inlineStr">
        <is>
          <t>Juiz (Judicator)</t>
        </is>
      </c>
      <c r="C33" t="inlineStr">
        <is>
          <t>Armadura</t>
        </is>
      </c>
      <c r="D33" t="inlineStr">
        <is>
          <t>T4</t>
        </is>
      </c>
      <c r="E33" t="inlineStr">
        <is>
          <t>Preserved Animal Fur</t>
        </is>
      </c>
      <c r="F33" s="25" t="n">
        <v>448</v>
      </c>
      <c r="G33" s="6" t="n"/>
      <c r="H33" s="6" t="n"/>
      <c r="I33" s="6" t="n"/>
      <c r="J33" s="6" t="n"/>
      <c r="K33" s="6" t="n"/>
      <c r="L33" s="32">
        <f>IF(COUNT(G33:K33)=0,"",MIN(G33:K33))</f>
        <v/>
      </c>
      <c r="M33" s="30">
        <f>IF(L33="","",INDEX($G$2:$K$2,MATCH(L33,G33:K33,0)))</f>
        <v/>
      </c>
    </row>
    <row r="34">
      <c r="A34" t="inlineStr">
        <is>
          <t>Juiz (Judicator)|Armadura|T5</t>
        </is>
      </c>
      <c r="B34" t="inlineStr">
        <is>
          <t>Juiz (Judicator)</t>
        </is>
      </c>
      <c r="C34" t="inlineStr">
        <is>
          <t>Armadura</t>
        </is>
      </c>
      <c r="D34" t="inlineStr">
        <is>
          <t>T5</t>
        </is>
      </c>
      <c r="E34" t="inlineStr">
        <is>
          <t>Preserved Animal Fur</t>
        </is>
      </c>
      <c r="F34" s="25" t="n">
        <v>896</v>
      </c>
      <c r="G34" s="6" t="n"/>
      <c r="H34" s="6" t="n"/>
      <c r="I34" s="6" t="n"/>
      <c r="J34" s="6" t="n"/>
      <c r="K34" s="6" t="n"/>
      <c r="L34" s="32">
        <f>IF(COUNT(G34:K34)=0,"",MIN(G34:K34))</f>
        <v/>
      </c>
      <c r="M34" s="30">
        <f>IF(L34="","",INDEX($G$2:$K$2,MATCH(L34,G34:K34,0)))</f>
        <v/>
      </c>
    </row>
    <row r="35">
      <c r="A35" t="inlineStr">
        <is>
          <t>Juiz (Judicator)|Armadura|T6</t>
        </is>
      </c>
      <c r="B35" t="inlineStr">
        <is>
          <t>Juiz (Judicator)</t>
        </is>
      </c>
      <c r="C35" t="inlineStr">
        <is>
          <t>Armadura</t>
        </is>
      </c>
      <c r="D35" t="inlineStr">
        <is>
          <t>T6</t>
        </is>
      </c>
      <c r="E35" t="inlineStr">
        <is>
          <t>Preserved Animal Fur</t>
        </is>
      </c>
      <c r="F35" s="25" t="n">
        <v>1792</v>
      </c>
      <c r="G35" s="6" t="n"/>
      <c r="H35" s="6" t="n"/>
      <c r="I35" s="6" t="n"/>
      <c r="J35" s="6" t="n"/>
      <c r="K35" s="6" t="n"/>
      <c r="L35" s="32">
        <f>IF(COUNT(G35:K35)=0,"",MIN(G35:K35))</f>
        <v/>
      </c>
      <c r="M35" s="30">
        <f>IF(L35="","",INDEX($G$2:$K$2,MATCH(L35,G35:K35,0)))</f>
        <v/>
      </c>
    </row>
    <row r="36">
      <c r="A36" t="inlineStr">
        <is>
          <t>Juiz (Judicator)|Armadura|T7</t>
        </is>
      </c>
      <c r="B36" t="inlineStr">
        <is>
          <t>Juiz (Judicator)</t>
        </is>
      </c>
      <c r="C36" t="inlineStr">
        <is>
          <t>Armadura</t>
        </is>
      </c>
      <c r="D36" t="inlineStr">
        <is>
          <t>T7</t>
        </is>
      </c>
      <c r="E36" t="inlineStr">
        <is>
          <t>Preserved Animal Fur</t>
        </is>
      </c>
      <c r="F36" s="25" t="n">
        <v>3584</v>
      </c>
      <c r="G36" s="6" t="n"/>
      <c r="H36" s="6" t="n"/>
      <c r="I36" s="6" t="n"/>
      <c r="J36" s="6" t="n"/>
      <c r="K36" s="6" t="n"/>
      <c r="L36" s="32">
        <f>IF(COUNT(G36:K36)=0,"",MIN(G36:K36))</f>
        <v/>
      </c>
      <c r="M36" s="30">
        <f>IF(L36="","",INDEX($G$2:$K$2,MATCH(L36,G36:K36,0)))</f>
        <v/>
      </c>
    </row>
    <row r="37">
      <c r="A37" t="inlineStr">
        <is>
          <t>Juiz (Judicator)|Armadura|T8</t>
        </is>
      </c>
      <c r="B37" t="inlineStr">
        <is>
          <t>Juiz (Judicator)</t>
        </is>
      </c>
      <c r="C37" t="inlineStr">
        <is>
          <t>Armadura</t>
        </is>
      </c>
      <c r="D37" t="inlineStr">
        <is>
          <t>T8</t>
        </is>
      </c>
      <c r="E37" t="inlineStr">
        <is>
          <t>Preserved Animal Fur</t>
        </is>
      </c>
      <c r="F37" s="25" t="n">
        <v>7168</v>
      </c>
      <c r="G37" s="6" t="n"/>
      <c r="H37" s="6" t="n"/>
      <c r="I37" s="6" t="n"/>
      <c r="J37" s="6" t="n"/>
      <c r="K37" s="6" t="n"/>
      <c r="L37" s="32">
        <f>IF(COUNT(G37:K37)=0,"",MIN(G37:K37))</f>
        <v/>
      </c>
      <c r="M37" s="30">
        <f>IF(L37="","",INDEX($G$2:$K$2,MATCH(L37,G37:K37,0)))</f>
        <v/>
      </c>
    </row>
    <row r="38">
      <c r="A38" t="inlineStr">
        <is>
          <t>Juiz (Judicator)|Elmo|T4</t>
        </is>
      </c>
      <c r="B38" t="inlineStr">
        <is>
          <t>Juiz (Judicator)</t>
        </is>
      </c>
      <c r="C38" t="inlineStr">
        <is>
          <t>Elmo</t>
        </is>
      </c>
      <c r="D38" t="inlineStr">
        <is>
          <t>T4</t>
        </is>
      </c>
      <c r="E38" t="inlineStr">
        <is>
          <t>Carved Skull Padding</t>
        </is>
      </c>
      <c r="F38" s="25" t="n">
        <v>224</v>
      </c>
      <c r="G38" s="6" t="n"/>
      <c r="H38" s="6" t="n"/>
      <c r="I38" s="6" t="n"/>
      <c r="J38" s="6" t="n"/>
      <c r="K38" s="6" t="n"/>
      <c r="L38" s="32">
        <f>IF(COUNT(G38:K38)=0,"",MIN(G38:K38))</f>
        <v/>
      </c>
      <c r="M38" s="30">
        <f>IF(L38="","",INDEX($G$2:$K$2,MATCH(L38,G38:K38,0)))</f>
        <v/>
      </c>
    </row>
    <row r="39">
      <c r="A39" t="inlineStr">
        <is>
          <t>Juiz (Judicator)|Elmo|T5</t>
        </is>
      </c>
      <c r="B39" t="inlineStr">
        <is>
          <t>Juiz (Judicator)</t>
        </is>
      </c>
      <c r="C39" t="inlineStr">
        <is>
          <t>Elmo</t>
        </is>
      </c>
      <c r="D39" t="inlineStr">
        <is>
          <t>T5</t>
        </is>
      </c>
      <c r="E39" t="inlineStr">
        <is>
          <t>Carved Skull Padding</t>
        </is>
      </c>
      <c r="F39" s="25" t="n">
        <v>448</v>
      </c>
      <c r="G39" s="6" t="n"/>
      <c r="H39" s="6" t="n"/>
      <c r="I39" s="6" t="n"/>
      <c r="J39" s="6" t="n"/>
      <c r="K39" s="6" t="n"/>
      <c r="L39" s="32">
        <f>IF(COUNT(G39:K39)=0,"",MIN(G39:K39))</f>
        <v/>
      </c>
      <c r="M39" s="30">
        <f>IF(L39="","",INDEX($G$2:$K$2,MATCH(L39,G39:K39,0)))</f>
        <v/>
      </c>
    </row>
    <row r="40">
      <c r="A40" t="inlineStr">
        <is>
          <t>Juiz (Judicator)|Elmo|T6</t>
        </is>
      </c>
      <c r="B40" t="inlineStr">
        <is>
          <t>Juiz (Judicator)</t>
        </is>
      </c>
      <c r="C40" t="inlineStr">
        <is>
          <t>Elmo</t>
        </is>
      </c>
      <c r="D40" t="inlineStr">
        <is>
          <t>T6</t>
        </is>
      </c>
      <c r="E40" t="inlineStr">
        <is>
          <t>Carved Skull Padding</t>
        </is>
      </c>
      <c r="F40" s="25" t="n">
        <v>896</v>
      </c>
      <c r="G40" s="6" t="n"/>
      <c r="H40" s="6" t="n"/>
      <c r="I40" s="6" t="n"/>
      <c r="J40" s="6" t="n"/>
      <c r="K40" s="6" t="n"/>
      <c r="L40" s="32">
        <f>IF(COUNT(G40:K40)=0,"",MIN(G40:K40))</f>
        <v/>
      </c>
      <c r="M40" s="30">
        <f>IF(L40="","",INDEX($G$2:$K$2,MATCH(L40,G40:K40,0)))</f>
        <v/>
      </c>
    </row>
    <row r="41">
      <c r="A41" t="inlineStr">
        <is>
          <t>Juiz (Judicator)|Elmo|T7</t>
        </is>
      </c>
      <c r="B41" t="inlineStr">
        <is>
          <t>Juiz (Judicator)</t>
        </is>
      </c>
      <c r="C41" t="inlineStr">
        <is>
          <t>Elmo</t>
        </is>
      </c>
      <c r="D41" t="inlineStr">
        <is>
          <t>T7</t>
        </is>
      </c>
      <c r="E41" t="inlineStr">
        <is>
          <t>Carved Skull Padding</t>
        </is>
      </c>
      <c r="F41" s="25" t="n">
        <v>1792</v>
      </c>
      <c r="G41" s="6" t="n"/>
      <c r="H41" s="6" t="n"/>
      <c r="I41" s="6" t="n"/>
      <c r="J41" s="6" t="n"/>
      <c r="K41" s="6" t="n"/>
      <c r="L41" s="32">
        <f>IF(COUNT(G41:K41)=0,"",MIN(G41:K41))</f>
        <v/>
      </c>
      <c r="M41" s="30">
        <f>IF(L41="","",INDEX($G$2:$K$2,MATCH(L41,G41:K41,0)))</f>
        <v/>
      </c>
    </row>
    <row r="42">
      <c r="A42" t="inlineStr">
        <is>
          <t>Juiz (Judicator)|Elmo|T8</t>
        </is>
      </c>
      <c r="B42" t="inlineStr">
        <is>
          <t>Juiz (Judicator)</t>
        </is>
      </c>
      <c r="C42" t="inlineStr">
        <is>
          <t>Elmo</t>
        </is>
      </c>
      <c r="D42" t="inlineStr">
        <is>
          <t>T8</t>
        </is>
      </c>
      <c r="E42" t="inlineStr">
        <is>
          <t>Carved Skull Padding</t>
        </is>
      </c>
      <c r="F42" s="25" t="n">
        <v>3584</v>
      </c>
      <c r="G42" s="6" t="n"/>
      <c r="H42" s="6" t="n"/>
      <c r="I42" s="6" t="n"/>
      <c r="J42" s="6" t="n"/>
      <c r="K42" s="6" t="n"/>
      <c r="L42" s="32">
        <f>IF(COUNT(G42:K42)=0,"",MIN(G42:K42))</f>
        <v/>
      </c>
      <c r="M42" s="30">
        <f>IF(L42="","",INDEX($G$2:$K$2,MATCH(L42,G42:K42,0)))</f>
        <v/>
      </c>
    </row>
    <row r="43">
      <c r="A43" t="inlineStr">
        <is>
          <t>Juiz (Judicator)|Botas|T4</t>
        </is>
      </c>
      <c r="B43" t="inlineStr">
        <is>
          <t>Juiz (Judicator)</t>
        </is>
      </c>
      <c r="C43" t="inlineStr">
        <is>
          <t>Botas</t>
        </is>
      </c>
      <c r="D43" t="inlineStr">
        <is>
          <t>T4</t>
        </is>
      </c>
      <c r="E43" t="inlineStr">
        <is>
          <t>Inscribed Bindings</t>
        </is>
      </c>
      <c r="F43" s="25" t="n">
        <v>224</v>
      </c>
      <c r="G43" s="6" t="n"/>
      <c r="H43" s="6" t="n"/>
      <c r="I43" s="6" t="n"/>
      <c r="J43" s="6" t="n"/>
      <c r="K43" s="6" t="n"/>
      <c r="L43" s="32">
        <f>IF(COUNT(G43:K43)=0,"",MIN(G43:K43))</f>
        <v/>
      </c>
      <c r="M43" s="30">
        <f>IF(L43="","",INDEX($G$2:$K$2,MATCH(L43,G43:K43,0)))</f>
        <v/>
      </c>
    </row>
    <row r="44">
      <c r="A44" t="inlineStr">
        <is>
          <t>Juiz (Judicator)|Botas|T5</t>
        </is>
      </c>
      <c r="B44" t="inlineStr">
        <is>
          <t>Juiz (Judicator)</t>
        </is>
      </c>
      <c r="C44" t="inlineStr">
        <is>
          <t>Botas</t>
        </is>
      </c>
      <c r="D44" t="inlineStr">
        <is>
          <t>T5</t>
        </is>
      </c>
      <c r="E44" t="inlineStr">
        <is>
          <t>Inscribed Bindings</t>
        </is>
      </c>
      <c r="F44" s="25" t="n">
        <v>448</v>
      </c>
      <c r="G44" s="6" t="n"/>
      <c r="H44" s="6" t="n"/>
      <c r="I44" s="6" t="n"/>
      <c r="J44" s="6" t="n"/>
      <c r="K44" s="6" t="n"/>
      <c r="L44" s="32">
        <f>IF(COUNT(G44:K44)=0,"",MIN(G44:K44))</f>
        <v/>
      </c>
      <c r="M44" s="30">
        <f>IF(L44="","",INDEX($G$2:$K$2,MATCH(L44,G44:K44,0)))</f>
        <v/>
      </c>
    </row>
    <row r="45">
      <c r="A45" t="inlineStr">
        <is>
          <t>Juiz (Judicator)|Botas|T6</t>
        </is>
      </c>
      <c r="B45" t="inlineStr">
        <is>
          <t>Juiz (Judicator)</t>
        </is>
      </c>
      <c r="C45" t="inlineStr">
        <is>
          <t>Botas</t>
        </is>
      </c>
      <c r="D45" t="inlineStr">
        <is>
          <t>T6</t>
        </is>
      </c>
      <c r="E45" t="inlineStr">
        <is>
          <t>Inscribed Bindings</t>
        </is>
      </c>
      <c r="F45" s="25" t="n">
        <v>896</v>
      </c>
      <c r="G45" s="6" t="n"/>
      <c r="H45" s="6" t="n"/>
      <c r="I45" s="6" t="n"/>
      <c r="J45" s="6" t="n"/>
      <c r="K45" s="6" t="n"/>
      <c r="L45" s="32">
        <f>IF(COUNT(G45:K45)=0,"",MIN(G45:K45))</f>
        <v/>
      </c>
      <c r="M45" s="30">
        <f>IF(L45="","",INDEX($G$2:$K$2,MATCH(L45,G45:K45,0)))</f>
        <v/>
      </c>
    </row>
    <row r="46">
      <c r="A46" t="inlineStr">
        <is>
          <t>Juiz (Judicator)|Botas|T7</t>
        </is>
      </c>
      <c r="B46" t="inlineStr">
        <is>
          <t>Juiz (Judicator)</t>
        </is>
      </c>
      <c r="C46" t="inlineStr">
        <is>
          <t>Botas</t>
        </is>
      </c>
      <c r="D46" t="inlineStr">
        <is>
          <t>T7</t>
        </is>
      </c>
      <c r="E46" t="inlineStr">
        <is>
          <t>Inscribed Bindings</t>
        </is>
      </c>
      <c r="F46" s="25" t="n">
        <v>1792</v>
      </c>
      <c r="G46" s="6" t="n"/>
      <c r="H46" s="6" t="n"/>
      <c r="I46" s="6" t="n"/>
      <c r="J46" s="6" t="n"/>
      <c r="K46" s="6" t="n"/>
      <c r="L46" s="32">
        <f>IF(COUNT(G46:K46)=0,"",MIN(G46:K46))</f>
        <v/>
      </c>
      <c r="M46" s="30">
        <f>IF(L46="","",INDEX($G$2:$K$2,MATCH(L46,G46:K46,0)))</f>
        <v/>
      </c>
    </row>
    <row r="47">
      <c r="A47" t="inlineStr">
        <is>
          <t>Juiz (Judicator)|Botas|T8</t>
        </is>
      </c>
      <c r="B47" t="inlineStr">
        <is>
          <t>Juiz (Judicator)</t>
        </is>
      </c>
      <c r="C47" t="inlineStr">
        <is>
          <t>Botas</t>
        </is>
      </c>
      <c r="D47" t="inlineStr">
        <is>
          <t>T8</t>
        </is>
      </c>
      <c r="E47" t="inlineStr">
        <is>
          <t>Inscribed Bindings</t>
        </is>
      </c>
      <c r="F47" s="25" t="n">
        <v>3584</v>
      </c>
      <c r="G47" s="6" t="n"/>
      <c r="H47" s="6" t="n"/>
      <c r="I47" s="6" t="n"/>
      <c r="J47" s="6" t="n"/>
      <c r="K47" s="6" t="n"/>
      <c r="L47" s="32">
        <f>IF(COUNT(G47:K47)=0,"",MIN(G47:K47))</f>
        <v/>
      </c>
      <c r="M47" s="30">
        <f>IF(L47="","",INDEX($G$2:$K$2,MATCH(L47,G47:K47,0)))</f>
        <v/>
      </c>
    </row>
    <row r="48">
      <c r="A48" t="inlineStr">
        <is>
          <t>Duskweaver|Armadura|T4</t>
        </is>
      </c>
      <c r="B48" t="inlineStr">
        <is>
          <t>Duskweaver</t>
        </is>
      </c>
      <c r="C48" t="inlineStr">
        <is>
          <t>Armadura</t>
        </is>
      </c>
      <c r="D48" t="inlineStr">
        <is>
          <t>T4</t>
        </is>
      </c>
      <c r="E48" t="inlineStr">
        <is>
          <t>Veilweaver Carapace</t>
        </is>
      </c>
      <c r="F48" s="25" t="n">
        <v>448</v>
      </c>
      <c r="G48" s="6" t="n"/>
      <c r="H48" s="6" t="n"/>
      <c r="I48" s="6" t="n"/>
      <c r="J48" s="6" t="n"/>
      <c r="K48" s="6" t="n"/>
      <c r="L48" s="32">
        <f>IF(COUNT(G48:K48)=0,"",MIN(G48:K48))</f>
        <v/>
      </c>
      <c r="M48" s="30">
        <f>IF(L48="","",INDEX($G$2:$K$2,MATCH(L48,G48:K48,0)))</f>
        <v/>
      </c>
    </row>
    <row r="49">
      <c r="A49" t="inlineStr">
        <is>
          <t>Duskweaver|Armadura|T5</t>
        </is>
      </c>
      <c r="B49" t="inlineStr">
        <is>
          <t>Duskweaver</t>
        </is>
      </c>
      <c r="C49" t="inlineStr">
        <is>
          <t>Armadura</t>
        </is>
      </c>
      <c r="D49" t="inlineStr">
        <is>
          <t>T5</t>
        </is>
      </c>
      <c r="E49" t="inlineStr">
        <is>
          <t>Veilweaver Carapace</t>
        </is>
      </c>
      <c r="F49" s="25" t="n">
        <v>896</v>
      </c>
      <c r="G49" s="6" t="n"/>
      <c r="H49" s="6" t="n"/>
      <c r="I49" s="6" t="n"/>
      <c r="J49" s="6" t="n"/>
      <c r="K49" s="6" t="n"/>
      <c r="L49" s="32">
        <f>IF(COUNT(G49:K49)=0,"",MIN(G49:K49))</f>
        <v/>
      </c>
      <c r="M49" s="30">
        <f>IF(L49="","",INDEX($G$2:$K$2,MATCH(L49,G49:K49,0)))</f>
        <v/>
      </c>
    </row>
    <row r="50">
      <c r="A50" t="inlineStr">
        <is>
          <t>Duskweaver|Armadura|T6</t>
        </is>
      </c>
      <c r="B50" t="inlineStr">
        <is>
          <t>Duskweaver</t>
        </is>
      </c>
      <c r="C50" t="inlineStr">
        <is>
          <t>Armadura</t>
        </is>
      </c>
      <c r="D50" t="inlineStr">
        <is>
          <t>T6</t>
        </is>
      </c>
      <c r="E50" t="inlineStr">
        <is>
          <t>Veilweaver Carapace</t>
        </is>
      </c>
      <c r="F50" s="25" t="n">
        <v>1792</v>
      </c>
      <c r="G50" s="6" t="n"/>
      <c r="H50" s="6" t="n"/>
      <c r="I50" s="6" t="n"/>
      <c r="J50" s="6" t="n"/>
      <c r="K50" s="6" t="n"/>
      <c r="L50" s="32">
        <f>IF(COUNT(G50:K50)=0,"",MIN(G50:K50))</f>
        <v/>
      </c>
      <c r="M50" s="30">
        <f>IF(L50="","",INDEX($G$2:$K$2,MATCH(L50,G50:K50,0)))</f>
        <v/>
      </c>
    </row>
    <row r="51">
      <c r="A51" t="inlineStr">
        <is>
          <t>Duskweaver|Armadura|T7</t>
        </is>
      </c>
      <c r="B51" t="inlineStr">
        <is>
          <t>Duskweaver</t>
        </is>
      </c>
      <c r="C51" t="inlineStr">
        <is>
          <t>Armadura</t>
        </is>
      </c>
      <c r="D51" t="inlineStr">
        <is>
          <t>T7</t>
        </is>
      </c>
      <c r="E51" t="inlineStr">
        <is>
          <t>Veilweaver Carapace</t>
        </is>
      </c>
      <c r="F51" s="25" t="n">
        <v>3584</v>
      </c>
      <c r="G51" s="6" t="n"/>
      <c r="H51" s="6" t="n"/>
      <c r="I51" s="6" t="n"/>
      <c r="J51" s="6" t="n"/>
      <c r="K51" s="6" t="n"/>
      <c r="L51" s="32">
        <f>IF(COUNT(G51:K51)=0,"",MIN(G51:K51))</f>
        <v/>
      </c>
      <c r="M51" s="30">
        <f>IF(L51="","",INDEX($G$2:$K$2,MATCH(L51,G51:K51,0)))</f>
        <v/>
      </c>
    </row>
    <row r="52">
      <c r="A52" t="inlineStr">
        <is>
          <t>Duskweaver|Armadura|T8</t>
        </is>
      </c>
      <c r="B52" t="inlineStr">
        <is>
          <t>Duskweaver</t>
        </is>
      </c>
      <c r="C52" t="inlineStr">
        <is>
          <t>Armadura</t>
        </is>
      </c>
      <c r="D52" t="inlineStr">
        <is>
          <t>T8</t>
        </is>
      </c>
      <c r="E52" t="inlineStr">
        <is>
          <t>Veilweaver Carapace</t>
        </is>
      </c>
      <c r="F52" s="25" t="n">
        <v>7168</v>
      </c>
      <c r="G52" s="6" t="n"/>
      <c r="H52" s="6" t="n"/>
      <c r="I52" s="6" t="n"/>
      <c r="J52" s="6" t="n"/>
      <c r="K52" s="6" t="n"/>
      <c r="L52" s="32">
        <f>IF(COUNT(G52:K52)=0,"",MIN(G52:K52))</f>
        <v/>
      </c>
      <c r="M52" s="30">
        <f>IF(L52="","",INDEX($G$2:$K$2,MATCH(L52,G52:K52,0)))</f>
        <v/>
      </c>
    </row>
    <row r="53">
      <c r="A53" t="inlineStr">
        <is>
          <t>Duskweaver|Elmo|T4</t>
        </is>
      </c>
      <c r="B53" t="inlineStr">
        <is>
          <t>Duskweaver</t>
        </is>
      </c>
      <c r="C53" t="inlineStr">
        <is>
          <t>Elmo</t>
        </is>
      </c>
      <c r="D53" t="inlineStr">
        <is>
          <t>T4</t>
        </is>
      </c>
      <c r="E53" t="inlineStr">
        <is>
          <t>Veilweaver Mandibles</t>
        </is>
      </c>
      <c r="F53" s="25" t="n">
        <v>224</v>
      </c>
      <c r="G53" s="6" t="n"/>
      <c r="H53" s="6" t="n"/>
      <c r="I53" s="6" t="n"/>
      <c r="J53" s="6" t="n"/>
      <c r="K53" s="6" t="n"/>
      <c r="L53" s="32">
        <f>IF(COUNT(G53:K53)=0,"",MIN(G53:K53))</f>
        <v/>
      </c>
      <c r="M53" s="30">
        <f>IF(L53="","",INDEX($G$2:$K$2,MATCH(L53,G53:K53,0)))</f>
        <v/>
      </c>
    </row>
    <row r="54">
      <c r="A54" t="inlineStr">
        <is>
          <t>Duskweaver|Elmo|T5</t>
        </is>
      </c>
      <c r="B54" t="inlineStr">
        <is>
          <t>Duskweaver</t>
        </is>
      </c>
      <c r="C54" t="inlineStr">
        <is>
          <t>Elmo</t>
        </is>
      </c>
      <c r="D54" t="inlineStr">
        <is>
          <t>T5</t>
        </is>
      </c>
      <c r="E54" t="inlineStr">
        <is>
          <t>Veilweaver Mandibles</t>
        </is>
      </c>
      <c r="F54" s="25" t="n">
        <v>448</v>
      </c>
      <c r="G54" s="6" t="n"/>
      <c r="H54" s="6" t="n"/>
      <c r="I54" s="6" t="n"/>
      <c r="J54" s="6" t="n"/>
      <c r="K54" s="6" t="n"/>
      <c r="L54" s="32">
        <f>IF(COUNT(G54:K54)=0,"",MIN(G54:K54))</f>
        <v/>
      </c>
      <c r="M54" s="30">
        <f>IF(L54="","",INDEX($G$2:$K$2,MATCH(L54,G54:K54,0)))</f>
        <v/>
      </c>
    </row>
    <row r="55">
      <c r="A55" t="inlineStr">
        <is>
          <t>Duskweaver|Elmo|T6</t>
        </is>
      </c>
      <c r="B55" t="inlineStr">
        <is>
          <t>Duskweaver</t>
        </is>
      </c>
      <c r="C55" t="inlineStr">
        <is>
          <t>Elmo</t>
        </is>
      </c>
      <c r="D55" t="inlineStr">
        <is>
          <t>T6</t>
        </is>
      </c>
      <c r="E55" t="inlineStr">
        <is>
          <t>Veilweaver Mandibles</t>
        </is>
      </c>
      <c r="F55" s="25" t="n">
        <v>896</v>
      </c>
      <c r="G55" s="6" t="n"/>
      <c r="H55" s="6" t="n"/>
      <c r="I55" s="6" t="n"/>
      <c r="J55" s="6" t="n"/>
      <c r="K55" s="6" t="n"/>
      <c r="L55" s="32">
        <f>IF(COUNT(G55:K55)=0,"",MIN(G55:K55))</f>
        <v/>
      </c>
      <c r="M55" s="30">
        <f>IF(L55="","",INDEX($G$2:$K$2,MATCH(L55,G55:K55,0)))</f>
        <v/>
      </c>
    </row>
    <row r="56">
      <c r="A56" t="inlineStr">
        <is>
          <t>Duskweaver|Elmo|T7</t>
        </is>
      </c>
      <c r="B56" t="inlineStr">
        <is>
          <t>Duskweaver</t>
        </is>
      </c>
      <c r="C56" t="inlineStr">
        <is>
          <t>Elmo</t>
        </is>
      </c>
      <c r="D56" t="inlineStr">
        <is>
          <t>T7</t>
        </is>
      </c>
      <c r="E56" t="inlineStr">
        <is>
          <t>Veilweaver Mandibles</t>
        </is>
      </c>
      <c r="F56" s="25" t="n">
        <v>1792</v>
      </c>
      <c r="G56" s="6" t="n"/>
      <c r="H56" s="6" t="n"/>
      <c r="I56" s="6" t="n"/>
      <c r="J56" s="6" t="n"/>
      <c r="K56" s="6" t="n"/>
      <c r="L56" s="32">
        <f>IF(COUNT(G56:K56)=0,"",MIN(G56:K56))</f>
        <v/>
      </c>
      <c r="M56" s="30">
        <f>IF(L56="","",INDEX($G$2:$K$2,MATCH(L56,G56:K56,0)))</f>
        <v/>
      </c>
    </row>
    <row r="57">
      <c r="A57" t="inlineStr">
        <is>
          <t>Duskweaver|Elmo|T8</t>
        </is>
      </c>
      <c r="B57" t="inlineStr">
        <is>
          <t>Duskweaver</t>
        </is>
      </c>
      <c r="C57" t="inlineStr">
        <is>
          <t>Elmo</t>
        </is>
      </c>
      <c r="D57" t="inlineStr">
        <is>
          <t>T8</t>
        </is>
      </c>
      <c r="E57" t="inlineStr">
        <is>
          <t>Veilweaver Mandibles</t>
        </is>
      </c>
      <c r="F57" s="25" t="n">
        <v>3584</v>
      </c>
      <c r="G57" s="6" t="n"/>
      <c r="H57" s="6" t="n"/>
      <c r="I57" s="6" t="n"/>
      <c r="J57" s="6" t="n"/>
      <c r="K57" s="6" t="n"/>
      <c r="L57" s="32">
        <f>IF(COUNT(G57:K57)=0,"",MIN(G57:K57))</f>
        <v/>
      </c>
      <c r="M57" s="30">
        <f>IF(L57="","",INDEX($G$2:$K$2,MATCH(L57,G57:K57,0)))</f>
        <v/>
      </c>
    </row>
    <row r="58">
      <c r="A58" t="inlineStr">
        <is>
          <t>Duskweaver|Botas|T4</t>
        </is>
      </c>
      <c r="B58" t="inlineStr">
        <is>
          <t>Duskweaver</t>
        </is>
      </c>
      <c r="C58" t="inlineStr">
        <is>
          <t>Botas</t>
        </is>
      </c>
      <c r="D58" t="inlineStr">
        <is>
          <t>T4</t>
        </is>
      </c>
      <c r="E58" t="inlineStr">
        <is>
          <t>Veilweaver Claws</t>
        </is>
      </c>
      <c r="F58" s="25" t="n">
        <v>224</v>
      </c>
      <c r="G58" s="6" t="n"/>
      <c r="H58" s="6" t="n"/>
      <c r="I58" s="6" t="n"/>
      <c r="J58" s="6" t="n"/>
      <c r="K58" s="6" t="n"/>
      <c r="L58" s="32">
        <f>IF(COUNT(G58:K58)=0,"",MIN(G58:K58))</f>
        <v/>
      </c>
      <c r="M58" s="30">
        <f>IF(L58="","",INDEX($G$2:$K$2,MATCH(L58,G58:K58,0)))</f>
        <v/>
      </c>
    </row>
    <row r="59">
      <c r="A59" t="inlineStr">
        <is>
          <t>Duskweaver|Botas|T5</t>
        </is>
      </c>
      <c r="B59" t="inlineStr">
        <is>
          <t>Duskweaver</t>
        </is>
      </c>
      <c r="C59" t="inlineStr">
        <is>
          <t>Botas</t>
        </is>
      </c>
      <c r="D59" t="inlineStr">
        <is>
          <t>T5</t>
        </is>
      </c>
      <c r="E59" t="inlineStr">
        <is>
          <t>Veilweaver Claws</t>
        </is>
      </c>
      <c r="F59" s="25" t="n">
        <v>448</v>
      </c>
      <c r="G59" s="6" t="n"/>
      <c r="H59" s="6" t="n"/>
      <c r="I59" s="6" t="n"/>
      <c r="J59" s="6" t="n"/>
      <c r="K59" s="6" t="n"/>
      <c r="L59" s="32">
        <f>IF(COUNT(G59:K59)=0,"",MIN(G59:K59))</f>
        <v/>
      </c>
      <c r="M59" s="30">
        <f>IF(L59="","",INDEX($G$2:$K$2,MATCH(L59,G59:K59,0)))</f>
        <v/>
      </c>
    </row>
    <row r="60">
      <c r="A60" t="inlineStr">
        <is>
          <t>Duskweaver|Botas|T6</t>
        </is>
      </c>
      <c r="B60" t="inlineStr">
        <is>
          <t>Duskweaver</t>
        </is>
      </c>
      <c r="C60" t="inlineStr">
        <is>
          <t>Botas</t>
        </is>
      </c>
      <c r="D60" t="inlineStr">
        <is>
          <t>T6</t>
        </is>
      </c>
      <c r="E60" t="inlineStr">
        <is>
          <t>Veilweaver Claws</t>
        </is>
      </c>
      <c r="F60" s="25" t="n">
        <v>896</v>
      </c>
      <c r="G60" s="6" t="n"/>
      <c r="H60" s="6" t="n"/>
      <c r="I60" s="6" t="n"/>
      <c r="J60" s="6" t="n"/>
      <c r="K60" s="6" t="n"/>
      <c r="L60" s="32">
        <f>IF(COUNT(G60:K60)=0,"",MIN(G60:K60))</f>
        <v/>
      </c>
      <c r="M60" s="30">
        <f>IF(L60="","",INDEX($G$2:$K$2,MATCH(L60,G60:K60,0)))</f>
        <v/>
      </c>
    </row>
    <row r="61">
      <c r="A61" t="inlineStr">
        <is>
          <t>Duskweaver|Botas|T7</t>
        </is>
      </c>
      <c r="B61" t="inlineStr">
        <is>
          <t>Duskweaver</t>
        </is>
      </c>
      <c r="C61" t="inlineStr">
        <is>
          <t>Botas</t>
        </is>
      </c>
      <c r="D61" t="inlineStr">
        <is>
          <t>T7</t>
        </is>
      </c>
      <c r="E61" t="inlineStr">
        <is>
          <t>Veilweaver Claws</t>
        </is>
      </c>
      <c r="F61" s="25" t="n">
        <v>1792</v>
      </c>
      <c r="G61" s="6" t="n"/>
      <c r="H61" s="6" t="n"/>
      <c r="I61" s="6" t="n"/>
      <c r="J61" s="6" t="n"/>
      <c r="K61" s="6" t="n"/>
      <c r="L61" s="32">
        <f>IF(COUNT(G61:K61)=0,"",MIN(G61:K61))</f>
        <v/>
      </c>
      <c r="M61" s="30">
        <f>IF(L61="","",INDEX($G$2:$K$2,MATCH(L61,G61:K61,0)))</f>
        <v/>
      </c>
    </row>
    <row r="62">
      <c r="A62" t="inlineStr">
        <is>
          <t>Duskweaver|Botas|T8</t>
        </is>
      </c>
      <c r="B62" t="inlineStr">
        <is>
          <t>Duskweaver</t>
        </is>
      </c>
      <c r="C62" t="inlineStr">
        <is>
          <t>Botas</t>
        </is>
      </c>
      <c r="D62" t="inlineStr">
        <is>
          <t>T8</t>
        </is>
      </c>
      <c r="E62" t="inlineStr">
        <is>
          <t>Veilweaver Claws</t>
        </is>
      </c>
      <c r="F62" s="25" t="n">
        <v>3584</v>
      </c>
      <c r="G62" s="6" t="n"/>
      <c r="H62" s="6" t="n"/>
      <c r="I62" s="6" t="n"/>
      <c r="J62" s="6" t="n"/>
      <c r="K62" s="6" t="n"/>
      <c r="L62" s="32">
        <f>IF(COUNT(G62:K62)=0,"",MIN(G62:K62))</f>
        <v/>
      </c>
      <c r="M62" s="30">
        <f>IF(L62="","",INDEX($G$2:$K$2,MATCH(L62,G62:K62,0)))</f>
        <v/>
      </c>
    </row>
    <row r="63">
      <c r="A63" t="inlineStr">
        <is>
          <t>Valor|Armadura|T4</t>
        </is>
      </c>
      <c r="B63" t="inlineStr">
        <is>
          <t>Valor</t>
        </is>
      </c>
      <c r="C63" t="inlineStr">
        <is>
          <t>Armadura</t>
        </is>
      </c>
      <c r="D63" t="inlineStr">
        <is>
          <t>T4</t>
        </is>
      </c>
      <c r="E63" t="inlineStr">
        <is>
          <t>Exalted Plating</t>
        </is>
      </c>
      <c r="F63" s="25" t="n">
        <v>960</v>
      </c>
      <c r="G63" s="6" t="n"/>
      <c r="H63" s="6" t="n"/>
      <c r="I63" s="6" t="n"/>
      <c r="J63" s="6" t="n"/>
      <c r="K63" s="6" t="n"/>
      <c r="L63" s="32">
        <f>IF(COUNT(G63:K63)=0,"",MIN(G63:K63))</f>
        <v/>
      </c>
      <c r="M63" s="30">
        <f>IF(L63="","",INDEX($G$2:$K$2,MATCH(L63,G63:K63,0)))</f>
        <v/>
      </c>
    </row>
    <row r="64">
      <c r="A64" t="inlineStr">
        <is>
          <t>Valor|Armadura|T5</t>
        </is>
      </c>
      <c r="B64" t="inlineStr">
        <is>
          <t>Valor</t>
        </is>
      </c>
      <c r="C64" t="inlineStr">
        <is>
          <t>Armadura</t>
        </is>
      </c>
      <c r="D64" t="inlineStr">
        <is>
          <t>T5</t>
        </is>
      </c>
      <c r="E64" t="inlineStr">
        <is>
          <t>Exalted Plating</t>
        </is>
      </c>
      <c r="F64" s="25" t="n">
        <v>1920</v>
      </c>
      <c r="G64" s="6" t="n"/>
      <c r="H64" s="6" t="n"/>
      <c r="I64" s="6" t="n"/>
      <c r="J64" s="6" t="n"/>
      <c r="K64" s="6" t="n"/>
      <c r="L64" s="32">
        <f>IF(COUNT(G64:K64)=0,"",MIN(G64:K64))</f>
        <v/>
      </c>
      <c r="M64" s="30">
        <f>IF(L64="","",INDEX($G$2:$K$2,MATCH(L64,G64:K64,0)))</f>
        <v/>
      </c>
    </row>
    <row r="65">
      <c r="A65" t="inlineStr">
        <is>
          <t>Valor|Armadura|T6</t>
        </is>
      </c>
      <c r="B65" t="inlineStr">
        <is>
          <t>Valor</t>
        </is>
      </c>
      <c r="C65" t="inlineStr">
        <is>
          <t>Armadura</t>
        </is>
      </c>
      <c r="D65" t="inlineStr">
        <is>
          <t>T6</t>
        </is>
      </c>
      <c r="E65" t="inlineStr">
        <is>
          <t>Exalted Plating</t>
        </is>
      </c>
      <c r="F65" s="25" t="n">
        <v>3840</v>
      </c>
      <c r="G65" s="6" t="n"/>
      <c r="H65" s="6" t="n"/>
      <c r="I65" s="6" t="n"/>
      <c r="J65" s="6" t="n"/>
      <c r="K65" s="6" t="n"/>
      <c r="L65" s="32">
        <f>IF(COUNT(G65:K65)=0,"",MIN(G65:K65))</f>
        <v/>
      </c>
      <c r="M65" s="30">
        <f>IF(L65="","",INDEX($G$2:$K$2,MATCH(L65,G65:K65,0)))</f>
        <v/>
      </c>
    </row>
    <row r="66">
      <c r="A66" t="inlineStr">
        <is>
          <t>Valor|Armadura|T7</t>
        </is>
      </c>
      <c r="B66" t="inlineStr">
        <is>
          <t>Valor</t>
        </is>
      </c>
      <c r="C66" t="inlineStr">
        <is>
          <t>Armadura</t>
        </is>
      </c>
      <c r="D66" t="inlineStr">
        <is>
          <t>T7</t>
        </is>
      </c>
      <c r="E66" t="inlineStr">
        <is>
          <t>Exalted Plating</t>
        </is>
      </c>
      <c r="F66" s="25" t="n">
        <v>7680</v>
      </c>
      <c r="G66" s="6" t="n"/>
      <c r="H66" s="6" t="n"/>
      <c r="I66" s="6" t="n"/>
      <c r="J66" s="6" t="n"/>
      <c r="K66" s="6" t="n"/>
      <c r="L66" s="32">
        <f>IF(COUNT(G66:K66)=0,"",MIN(G66:K66))</f>
        <v/>
      </c>
      <c r="M66" s="30">
        <f>IF(L66="","",INDEX($G$2:$K$2,MATCH(L66,G66:K66,0)))</f>
        <v/>
      </c>
    </row>
    <row r="67">
      <c r="A67" t="inlineStr">
        <is>
          <t>Valor|Armadura|T8</t>
        </is>
      </c>
      <c r="B67" t="inlineStr">
        <is>
          <t>Valor</t>
        </is>
      </c>
      <c r="C67" t="inlineStr">
        <is>
          <t>Armadura</t>
        </is>
      </c>
      <c r="D67" t="inlineStr">
        <is>
          <t>T8</t>
        </is>
      </c>
      <c r="E67" t="inlineStr">
        <is>
          <t>Exalted Plating</t>
        </is>
      </c>
      <c r="F67" s="25" t="n">
        <v>15360</v>
      </c>
      <c r="G67" s="6" t="n"/>
      <c r="H67" s="6" t="n"/>
      <c r="I67" s="6" t="n"/>
      <c r="J67" s="6" t="n"/>
      <c r="K67" s="6" t="n"/>
      <c r="L67" s="32">
        <f>IF(COUNT(G67:K67)=0,"",MIN(G67:K67))</f>
        <v/>
      </c>
      <c r="M67" s="30">
        <f>IF(L67="","",INDEX($G$2:$K$2,MATCH(L67,G67:K67,0)))</f>
        <v/>
      </c>
    </row>
    <row r="68">
      <c r="A68" t="inlineStr">
        <is>
          <t>Valor|Elmo|T4</t>
        </is>
      </c>
      <c r="B68" t="inlineStr">
        <is>
          <t>Valor</t>
        </is>
      </c>
      <c r="C68" t="inlineStr">
        <is>
          <t>Elmo</t>
        </is>
      </c>
      <c r="D68" t="inlineStr">
        <is>
          <t>T4</t>
        </is>
      </c>
      <c r="E68" t="inlineStr">
        <is>
          <t>Exalted Visor</t>
        </is>
      </c>
      <c r="F68" s="25" t="n">
        <v>480</v>
      </c>
      <c r="G68" s="6" t="n"/>
      <c r="H68" s="6" t="n"/>
      <c r="I68" s="6" t="n"/>
      <c r="J68" s="6" t="n"/>
      <c r="K68" s="6" t="n"/>
      <c r="L68" s="32">
        <f>IF(COUNT(G68:K68)=0,"",MIN(G68:K68))</f>
        <v/>
      </c>
      <c r="M68" s="30">
        <f>IF(L68="","",INDEX($G$2:$K$2,MATCH(L68,G68:K68,0)))</f>
        <v/>
      </c>
    </row>
    <row r="69">
      <c r="A69" t="inlineStr">
        <is>
          <t>Valor|Elmo|T5</t>
        </is>
      </c>
      <c r="B69" t="inlineStr">
        <is>
          <t>Valor</t>
        </is>
      </c>
      <c r="C69" t="inlineStr">
        <is>
          <t>Elmo</t>
        </is>
      </c>
      <c r="D69" t="inlineStr">
        <is>
          <t>T5</t>
        </is>
      </c>
      <c r="E69" t="inlineStr">
        <is>
          <t>Exalted Visor</t>
        </is>
      </c>
      <c r="F69" s="25" t="n">
        <v>960</v>
      </c>
      <c r="G69" s="6" t="n"/>
      <c r="H69" s="6" t="n"/>
      <c r="I69" s="6" t="n"/>
      <c r="J69" s="6" t="n"/>
      <c r="K69" s="6" t="n"/>
      <c r="L69" s="32">
        <f>IF(COUNT(G69:K69)=0,"",MIN(G69:K69))</f>
        <v/>
      </c>
      <c r="M69" s="30">
        <f>IF(L69="","",INDEX($G$2:$K$2,MATCH(L69,G69:K69,0)))</f>
        <v/>
      </c>
    </row>
    <row r="70">
      <c r="A70" t="inlineStr">
        <is>
          <t>Valor|Elmo|T6</t>
        </is>
      </c>
      <c r="B70" t="inlineStr">
        <is>
          <t>Valor</t>
        </is>
      </c>
      <c r="C70" t="inlineStr">
        <is>
          <t>Elmo</t>
        </is>
      </c>
      <c r="D70" t="inlineStr">
        <is>
          <t>T6</t>
        </is>
      </c>
      <c r="E70" t="inlineStr">
        <is>
          <t>Exalted Visor</t>
        </is>
      </c>
      <c r="F70" s="25" t="n">
        <v>1920</v>
      </c>
      <c r="G70" s="6" t="n"/>
      <c r="H70" s="6" t="n"/>
      <c r="I70" s="6" t="n"/>
      <c r="J70" s="6" t="n"/>
      <c r="K70" s="6" t="n"/>
      <c r="L70" s="32">
        <f>IF(COUNT(G70:K70)=0,"",MIN(G70:K70))</f>
        <v/>
      </c>
      <c r="M70" s="30">
        <f>IF(L70="","",INDEX($G$2:$K$2,MATCH(L70,G70:K70,0)))</f>
        <v/>
      </c>
    </row>
    <row r="71">
      <c r="A71" t="inlineStr">
        <is>
          <t>Valor|Elmo|T7</t>
        </is>
      </c>
      <c r="B71" t="inlineStr">
        <is>
          <t>Valor</t>
        </is>
      </c>
      <c r="C71" t="inlineStr">
        <is>
          <t>Elmo</t>
        </is>
      </c>
      <c r="D71" t="inlineStr">
        <is>
          <t>T7</t>
        </is>
      </c>
      <c r="E71" t="inlineStr">
        <is>
          <t>Exalted Visor</t>
        </is>
      </c>
      <c r="F71" s="25" t="n">
        <v>3840</v>
      </c>
      <c r="G71" s="6" t="n"/>
      <c r="H71" s="6" t="n"/>
      <c r="I71" s="6" t="n"/>
      <c r="J71" s="6" t="n"/>
      <c r="K71" s="6" t="n"/>
      <c r="L71" s="32">
        <f>IF(COUNT(G71:K71)=0,"",MIN(G71:K71))</f>
        <v/>
      </c>
      <c r="M71" s="30">
        <f>IF(L71="","",INDEX($G$2:$K$2,MATCH(L71,G71:K71,0)))</f>
        <v/>
      </c>
    </row>
    <row r="72">
      <c r="A72" t="inlineStr">
        <is>
          <t>Valor|Elmo|T8</t>
        </is>
      </c>
      <c r="B72" t="inlineStr">
        <is>
          <t>Valor</t>
        </is>
      </c>
      <c r="C72" t="inlineStr">
        <is>
          <t>Elmo</t>
        </is>
      </c>
      <c r="D72" t="inlineStr">
        <is>
          <t>T8</t>
        </is>
      </c>
      <c r="E72" t="inlineStr">
        <is>
          <t>Exalted Visor</t>
        </is>
      </c>
      <c r="F72" s="25" t="n">
        <v>7680</v>
      </c>
      <c r="G72" s="6" t="n"/>
      <c r="H72" s="6" t="n"/>
      <c r="I72" s="6" t="n"/>
      <c r="J72" s="6" t="n"/>
      <c r="K72" s="6" t="n"/>
      <c r="L72" s="32">
        <f>IF(COUNT(G72:K72)=0,"",MIN(G72:K72))</f>
        <v/>
      </c>
      <c r="M72" s="30">
        <f>IF(L72="","",INDEX($G$2:$K$2,MATCH(L72,G72:K72,0)))</f>
        <v/>
      </c>
    </row>
    <row r="73">
      <c r="A73" t="inlineStr">
        <is>
          <t>Valor|Botas|T4</t>
        </is>
      </c>
      <c r="B73" t="inlineStr">
        <is>
          <t>Valor</t>
        </is>
      </c>
      <c r="C73" t="inlineStr">
        <is>
          <t>Botas</t>
        </is>
      </c>
      <c r="D73" t="inlineStr">
        <is>
          <t>T4</t>
        </is>
      </c>
      <c r="E73" t="inlineStr">
        <is>
          <t>Exalted Greave</t>
        </is>
      </c>
      <c r="F73" s="25" t="n">
        <v>480</v>
      </c>
      <c r="G73" s="6" t="n"/>
      <c r="H73" s="6" t="n"/>
      <c r="I73" s="6" t="n"/>
      <c r="J73" s="6" t="n"/>
      <c r="K73" s="6" t="n"/>
      <c r="L73" s="32">
        <f>IF(COUNT(G73:K73)=0,"",MIN(G73:K73))</f>
        <v/>
      </c>
      <c r="M73" s="30">
        <f>IF(L73="","",INDEX($G$2:$K$2,MATCH(L73,G73:K73,0)))</f>
        <v/>
      </c>
    </row>
    <row r="74">
      <c r="A74" t="inlineStr">
        <is>
          <t>Valor|Botas|T5</t>
        </is>
      </c>
      <c r="B74" t="inlineStr">
        <is>
          <t>Valor</t>
        </is>
      </c>
      <c r="C74" t="inlineStr">
        <is>
          <t>Botas</t>
        </is>
      </c>
      <c r="D74" t="inlineStr">
        <is>
          <t>T5</t>
        </is>
      </c>
      <c r="E74" t="inlineStr">
        <is>
          <t>Exalted Greave</t>
        </is>
      </c>
      <c r="F74" s="25" t="n">
        <v>960</v>
      </c>
      <c r="G74" s="6" t="n"/>
      <c r="H74" s="6" t="n"/>
      <c r="I74" s="6" t="n"/>
      <c r="J74" s="6" t="n"/>
      <c r="K74" s="6" t="n"/>
      <c r="L74" s="32">
        <f>IF(COUNT(G74:K74)=0,"",MIN(G74:K74))</f>
        <v/>
      </c>
      <c r="M74" s="30">
        <f>IF(L74="","",INDEX($G$2:$K$2,MATCH(L74,G74:K74,0)))</f>
        <v/>
      </c>
    </row>
    <row r="75">
      <c r="A75" t="inlineStr">
        <is>
          <t>Valor|Botas|T6</t>
        </is>
      </c>
      <c r="B75" t="inlineStr">
        <is>
          <t>Valor</t>
        </is>
      </c>
      <c r="C75" t="inlineStr">
        <is>
          <t>Botas</t>
        </is>
      </c>
      <c r="D75" t="inlineStr">
        <is>
          <t>T6</t>
        </is>
      </c>
      <c r="E75" t="inlineStr">
        <is>
          <t>Exalted Greave</t>
        </is>
      </c>
      <c r="F75" s="25" t="n">
        <v>1920</v>
      </c>
      <c r="G75" s="6" t="n"/>
      <c r="H75" s="6" t="n"/>
      <c r="I75" s="6" t="n"/>
      <c r="J75" s="6" t="n"/>
      <c r="K75" s="6" t="n"/>
      <c r="L75" s="32">
        <f>IF(COUNT(G75:K75)=0,"",MIN(G75:K75))</f>
        <v/>
      </c>
      <c r="M75" s="30">
        <f>IF(L75="","",INDEX($G$2:$K$2,MATCH(L75,G75:K75,0)))</f>
        <v/>
      </c>
    </row>
    <row r="76">
      <c r="A76" t="inlineStr">
        <is>
          <t>Valor|Botas|T7</t>
        </is>
      </c>
      <c r="B76" t="inlineStr">
        <is>
          <t>Valor</t>
        </is>
      </c>
      <c r="C76" t="inlineStr">
        <is>
          <t>Botas</t>
        </is>
      </c>
      <c r="D76" t="inlineStr">
        <is>
          <t>T7</t>
        </is>
      </c>
      <c r="E76" t="inlineStr">
        <is>
          <t>Exalted Greave</t>
        </is>
      </c>
      <c r="F76" s="25" t="n">
        <v>3840</v>
      </c>
      <c r="G76" s="6" t="n"/>
      <c r="H76" s="6" t="n"/>
      <c r="I76" s="6" t="n"/>
      <c r="J76" s="6" t="n"/>
      <c r="K76" s="6" t="n"/>
      <c r="L76" s="32">
        <f>IF(COUNT(G76:K76)=0,"",MIN(G76:K76))</f>
        <v/>
      </c>
      <c r="M76" s="30">
        <f>IF(L76="","",INDEX($G$2:$K$2,MATCH(L76,G76:K76,0)))</f>
        <v/>
      </c>
    </row>
    <row r="77">
      <c r="A77" t="inlineStr">
        <is>
          <t>Valor|Botas|T8</t>
        </is>
      </c>
      <c r="B77" t="inlineStr">
        <is>
          <t>Valor</t>
        </is>
      </c>
      <c r="C77" t="inlineStr">
        <is>
          <t>Botas</t>
        </is>
      </c>
      <c r="D77" t="inlineStr">
        <is>
          <t>T8</t>
        </is>
      </c>
      <c r="E77" t="inlineStr">
        <is>
          <t>Exalted Greave</t>
        </is>
      </c>
      <c r="F77" s="25" t="n">
        <v>7680</v>
      </c>
      <c r="G77" s="6" t="n"/>
      <c r="H77" s="6" t="n"/>
      <c r="I77" s="6" t="n"/>
      <c r="J77" s="6" t="n"/>
      <c r="K77" s="6" t="n"/>
      <c r="L77" s="32">
        <f>IF(COUNT(G77:K77)=0,"",MIN(G77:K77))</f>
        <v/>
      </c>
      <c r="M77" s="30">
        <f>IF(L77="","",INDEX($G$2:$K$2,MATCH(L77,G77:K77,0)))</f>
        <v/>
      </c>
    </row>
  </sheetData>
  <autoFilter ref="A2:M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3" max="3"/>
    <col width="10" customWidth="1" min="5" max="5"/>
  </cols>
  <sheetData>
    <row r="1" ht="22" customHeight="1">
      <c r="A1" s="3" t="inlineStr">
        <is>
          <t>Variante</t>
        </is>
      </c>
      <c r="B1" s="3" t="inlineStr"/>
      <c r="C1" s="3" t="inlineStr">
        <is>
          <t>Peça</t>
        </is>
      </c>
      <c r="D1" s="3" t="inlineStr"/>
      <c r="E1" s="3" t="inlineStr">
        <is>
          <t>Tier</t>
        </is>
      </c>
    </row>
    <row r="2">
      <c r="A2" t="inlineStr">
        <is>
          <t>Soldado (Soldier)</t>
        </is>
      </c>
      <c r="C2" t="inlineStr">
        <is>
          <t>Armadura</t>
        </is>
      </c>
      <c r="E2" t="inlineStr">
        <is>
          <t>T4.0</t>
        </is>
      </c>
    </row>
    <row r="3">
      <c r="A3" t="inlineStr">
        <is>
          <t>Cavaleiro (Knight)</t>
        </is>
      </c>
      <c r="C3" t="inlineStr">
        <is>
          <t>Elmo</t>
        </is>
      </c>
      <c r="E3" t="inlineStr">
        <is>
          <t>T4.1</t>
        </is>
      </c>
    </row>
    <row r="4">
      <c r="A4" t="inlineStr">
        <is>
          <t>Guardião (Guardian)</t>
        </is>
      </c>
      <c r="C4" t="inlineStr">
        <is>
          <t>Botas</t>
        </is>
      </c>
      <c r="E4" t="inlineStr">
        <is>
          <t>T4.2</t>
        </is>
      </c>
    </row>
    <row r="5">
      <c r="A5" t="inlineStr">
        <is>
          <t>Graveguard</t>
        </is>
      </c>
      <c r="E5" t="inlineStr">
        <is>
          <t>T4.3</t>
        </is>
      </c>
    </row>
    <row r="6">
      <c r="A6" t="inlineStr">
        <is>
          <t>Demônio (Demon)</t>
        </is>
      </c>
      <c r="E6" t="inlineStr">
        <is>
          <t>T4.4</t>
        </is>
      </c>
    </row>
    <row r="7">
      <c r="A7" t="inlineStr">
        <is>
          <t>Juiz (Judicator)</t>
        </is>
      </c>
      <c r="E7" t="inlineStr">
        <is>
          <t>T5.0</t>
        </is>
      </c>
    </row>
    <row r="8">
      <c r="A8" t="inlineStr">
        <is>
          <t>Duskweaver</t>
        </is>
      </c>
      <c r="E8" t="inlineStr">
        <is>
          <t>T5.1</t>
        </is>
      </c>
    </row>
    <row r="9">
      <c r="A9" t="inlineStr">
        <is>
          <t>Valor</t>
        </is>
      </c>
      <c r="E9" t="inlineStr">
        <is>
          <t>T5.2</t>
        </is>
      </c>
    </row>
    <row r="10">
      <c r="E10" t="inlineStr">
        <is>
          <t>T5.3</t>
        </is>
      </c>
    </row>
    <row r="11">
      <c r="E11" t="inlineStr">
        <is>
          <t>T5.4</t>
        </is>
      </c>
    </row>
    <row r="12">
      <c r="E12" t="inlineStr">
        <is>
          <t>T6.0</t>
        </is>
      </c>
    </row>
    <row r="13">
      <c r="E13" t="inlineStr">
        <is>
          <t>T6.1</t>
        </is>
      </c>
    </row>
    <row r="14">
      <c r="E14" t="inlineStr">
        <is>
          <t>T6.2</t>
        </is>
      </c>
    </row>
    <row r="15">
      <c r="E15" t="inlineStr">
        <is>
          <t>T6.3</t>
        </is>
      </c>
    </row>
    <row r="16">
      <c r="E16" t="inlineStr">
        <is>
          <t>T6.4</t>
        </is>
      </c>
    </row>
    <row r="17">
      <c r="E17" t="inlineStr">
        <is>
          <t>T7.0</t>
        </is>
      </c>
    </row>
    <row r="18">
      <c r="E18" t="inlineStr">
        <is>
          <t>T7.1</t>
        </is>
      </c>
    </row>
    <row r="19">
      <c r="E19" t="inlineStr">
        <is>
          <t>T7.2</t>
        </is>
      </c>
    </row>
    <row r="20">
      <c r="E20" t="inlineStr">
        <is>
          <t>T7.3</t>
        </is>
      </c>
    </row>
    <row r="21">
      <c r="E21" t="inlineStr">
        <is>
          <t>T7.4</t>
        </is>
      </c>
    </row>
    <row r="22">
      <c r="E22" t="inlineStr">
        <is>
          <t>T8.0</t>
        </is>
      </c>
    </row>
    <row r="23">
      <c r="E23" t="inlineStr">
        <is>
          <t>T8.1</t>
        </is>
      </c>
    </row>
    <row r="24">
      <c r="E24" t="inlineStr">
        <is>
          <t>T8.2</t>
        </is>
      </c>
    </row>
    <row r="25">
      <c r="E25" t="inlineStr">
        <is>
          <t>T8.3</t>
        </is>
      </c>
    </row>
    <row r="26">
      <c r="E26" t="inlineStr">
        <is>
          <t>T8.4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2026-10-11T14:59:35Z</dcterms:created>
  <dcterms:modified xsi:type="dcterms:W3CDTF">2026-10-11T14:59:35Z</dcterms:modified>
</cp:coreProperties>
</file>